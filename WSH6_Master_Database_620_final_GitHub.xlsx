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zeynep/Library/CloudStorage/Dropbox/ITU Papers/UNDER REVIEW/Analytical Database/Version 1/Jupyter Codes_REV/GITHUB files/opensees_model_GitHub_ready/"/>
    </mc:Choice>
  </mc:AlternateContent>
  <xr:revisionPtr revIDLastSave="0" documentId="13_ncr:1_{6A22FC1C-5154-B843-BD7F-24A29DF68EB5}" xr6:coauthVersionLast="47" xr6:coauthVersionMax="47" xr10:uidLastSave="{00000000-0000-0000-0000-000000000000}"/>
  <bookViews>
    <workbookView xWindow="0" yWindow="500" windowWidth="28800" windowHeight="15760" activeTab="1" xr2:uid="{00000000-000D-0000-FFFF-FFFF00000000}"/>
  </bookViews>
  <sheets>
    <sheet name="Master_620" sheetId="1" r:id="rId1"/>
    <sheet name="Metadata" sheetId="4" r:id="rId2"/>
    <sheet name="Common_LHS_20" sheetId="2" r:id="rId3"/>
    <sheet name="Configuration_Definition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621" i="1" l="1"/>
  <c r="BB621" i="1"/>
  <c r="BA621" i="1"/>
  <c r="BC620" i="1"/>
  <c r="BB620" i="1"/>
  <c r="BA620" i="1" s="1"/>
  <c r="BC619" i="1"/>
  <c r="BB619" i="1"/>
  <c r="BA619" i="1" s="1"/>
  <c r="BC618" i="1"/>
  <c r="BB618" i="1"/>
  <c r="BA618" i="1" s="1"/>
  <c r="BC617" i="1"/>
  <c r="BB617" i="1"/>
  <c r="BA617" i="1" s="1"/>
  <c r="BC616" i="1"/>
  <c r="BB616" i="1"/>
  <c r="BA616" i="1" s="1"/>
  <c r="BC615" i="1"/>
  <c r="BB615" i="1"/>
  <c r="BA615" i="1" s="1"/>
  <c r="BC614" i="1"/>
  <c r="BB614" i="1"/>
  <c r="BA614" i="1" s="1"/>
  <c r="BC613" i="1"/>
  <c r="BB613" i="1"/>
  <c r="BA613" i="1" s="1"/>
  <c r="BC612" i="1"/>
  <c r="BB612" i="1"/>
  <c r="BA612" i="1" s="1"/>
  <c r="BC611" i="1"/>
  <c r="BB611" i="1"/>
  <c r="BA611" i="1" s="1"/>
  <c r="BC610" i="1"/>
  <c r="BB610" i="1"/>
  <c r="BA610" i="1" s="1"/>
  <c r="BC609" i="1"/>
  <c r="BB609" i="1"/>
  <c r="BA609" i="1" s="1"/>
  <c r="BC608" i="1"/>
  <c r="BB608" i="1"/>
  <c r="BA608" i="1" s="1"/>
  <c r="BC607" i="1"/>
  <c r="BB607" i="1"/>
  <c r="BA607" i="1" s="1"/>
  <c r="BC606" i="1"/>
  <c r="BB606" i="1"/>
  <c r="BA606" i="1" s="1"/>
  <c r="BC605" i="1"/>
  <c r="BB605" i="1"/>
  <c r="BA605" i="1" s="1"/>
  <c r="BC604" i="1"/>
  <c r="BB604" i="1"/>
  <c r="BA604" i="1" s="1"/>
  <c r="BC603" i="1"/>
  <c r="BB603" i="1"/>
  <c r="BA603" i="1" s="1"/>
  <c r="BC602" i="1"/>
  <c r="BB602" i="1"/>
  <c r="BA602" i="1" s="1"/>
  <c r="BC601" i="1"/>
  <c r="BB601" i="1"/>
  <c r="BA601" i="1" s="1"/>
  <c r="BC600" i="1"/>
  <c r="BB600" i="1"/>
  <c r="BA600" i="1" s="1"/>
  <c r="BC599" i="1"/>
  <c r="BB599" i="1"/>
  <c r="BA599" i="1" s="1"/>
  <c r="BC598" i="1"/>
  <c r="BB598" i="1"/>
  <c r="BA598" i="1" s="1"/>
  <c r="BC597" i="1"/>
  <c r="BB597" i="1"/>
  <c r="BA597" i="1" s="1"/>
  <c r="BC596" i="1"/>
  <c r="BB596" i="1"/>
  <c r="BA596" i="1" s="1"/>
  <c r="BC595" i="1"/>
  <c r="BB595" i="1"/>
  <c r="BA595" i="1" s="1"/>
  <c r="BC594" i="1"/>
  <c r="BB594" i="1"/>
  <c r="BA594" i="1" s="1"/>
  <c r="BC593" i="1"/>
  <c r="BB593" i="1"/>
  <c r="BA593" i="1" s="1"/>
  <c r="BC592" i="1"/>
  <c r="BB592" i="1"/>
  <c r="BA592" i="1" s="1"/>
  <c r="BC591" i="1"/>
  <c r="BB591" i="1"/>
  <c r="BA591" i="1" s="1"/>
  <c r="BC590" i="1"/>
  <c r="BB590" i="1"/>
  <c r="BA590" i="1" s="1"/>
  <c r="BC589" i="1"/>
  <c r="BB589" i="1"/>
  <c r="BA589" i="1" s="1"/>
  <c r="BC588" i="1"/>
  <c r="BB588" i="1"/>
  <c r="BA588" i="1" s="1"/>
  <c r="BC587" i="1"/>
  <c r="BB587" i="1"/>
  <c r="BA587" i="1" s="1"/>
  <c r="BC586" i="1"/>
  <c r="BB586" i="1"/>
  <c r="BA586" i="1" s="1"/>
  <c r="BC585" i="1"/>
  <c r="BB585" i="1"/>
  <c r="BA585" i="1" s="1"/>
  <c r="BC584" i="1"/>
  <c r="BB584" i="1"/>
  <c r="BA584" i="1" s="1"/>
  <c r="BC583" i="1"/>
  <c r="BB583" i="1"/>
  <c r="BA583" i="1" s="1"/>
  <c r="BC582" i="1"/>
  <c r="BB582" i="1"/>
  <c r="BA582" i="1" s="1"/>
  <c r="BC581" i="1"/>
  <c r="BB581" i="1"/>
  <c r="BA581" i="1" s="1"/>
  <c r="BC580" i="1"/>
  <c r="BB580" i="1"/>
  <c r="BA580" i="1" s="1"/>
  <c r="BC579" i="1"/>
  <c r="BB579" i="1"/>
  <c r="BA579" i="1" s="1"/>
  <c r="BC578" i="1"/>
  <c r="BB578" i="1"/>
  <c r="BA578" i="1" s="1"/>
  <c r="BC577" i="1"/>
  <c r="BB577" i="1"/>
  <c r="BA577" i="1" s="1"/>
  <c r="BC576" i="1"/>
  <c r="BB576" i="1"/>
  <c r="BA576" i="1" s="1"/>
  <c r="BC575" i="1"/>
  <c r="BB575" i="1"/>
  <c r="BA575" i="1" s="1"/>
  <c r="BC574" i="1"/>
  <c r="BB574" i="1"/>
  <c r="BA574" i="1" s="1"/>
  <c r="BC573" i="1"/>
  <c r="BB573" i="1"/>
  <c r="BA573" i="1" s="1"/>
  <c r="BC572" i="1"/>
  <c r="BB572" i="1"/>
  <c r="BA572" i="1" s="1"/>
  <c r="BC571" i="1"/>
  <c r="BB571" i="1"/>
  <c r="BA571" i="1" s="1"/>
  <c r="BC570" i="1"/>
  <c r="BB570" i="1"/>
  <c r="BA570" i="1" s="1"/>
  <c r="BC569" i="1"/>
  <c r="BB569" i="1"/>
  <c r="BA569" i="1" s="1"/>
  <c r="BC568" i="1"/>
  <c r="BB568" i="1"/>
  <c r="BA568" i="1" s="1"/>
  <c r="BC567" i="1"/>
  <c r="BB567" i="1"/>
  <c r="BA567" i="1" s="1"/>
  <c r="BC566" i="1"/>
  <c r="BB566" i="1"/>
  <c r="BA566" i="1" s="1"/>
  <c r="BC565" i="1"/>
  <c r="BB565" i="1"/>
  <c r="BA565" i="1" s="1"/>
  <c r="BC564" i="1"/>
  <c r="BB564" i="1"/>
  <c r="BC563" i="1"/>
  <c r="BB563" i="1"/>
  <c r="BA563" i="1" s="1"/>
  <c r="BC562" i="1"/>
  <c r="BB562" i="1"/>
  <c r="BA562" i="1" s="1"/>
  <c r="BC561" i="1"/>
  <c r="BB561" i="1"/>
  <c r="BA561" i="1" s="1"/>
  <c r="BC560" i="1"/>
  <c r="BB560" i="1"/>
  <c r="BA560" i="1" s="1"/>
  <c r="BC559" i="1"/>
  <c r="BB559" i="1"/>
  <c r="BA559" i="1" s="1"/>
  <c r="BC558" i="1"/>
  <c r="BB558" i="1"/>
  <c r="BA558" i="1" s="1"/>
  <c r="BC557" i="1"/>
  <c r="BB557" i="1"/>
  <c r="BA557" i="1" s="1"/>
  <c r="BC556" i="1"/>
  <c r="BB556" i="1"/>
  <c r="BA556" i="1" s="1"/>
  <c r="BC555" i="1"/>
  <c r="BB555" i="1"/>
  <c r="BA555" i="1" s="1"/>
  <c r="BC554" i="1"/>
  <c r="BB554" i="1"/>
  <c r="BA554" i="1" s="1"/>
  <c r="BC553" i="1"/>
  <c r="BB553" i="1"/>
  <c r="BA553" i="1" s="1"/>
  <c r="BC552" i="1"/>
  <c r="BB552" i="1"/>
  <c r="BA552" i="1" s="1"/>
  <c r="BC551" i="1"/>
  <c r="BB551" i="1"/>
  <c r="BA551" i="1" s="1"/>
  <c r="BC550" i="1"/>
  <c r="BB550" i="1"/>
  <c r="BA550" i="1" s="1"/>
  <c r="BC549" i="1"/>
  <c r="BB549" i="1"/>
  <c r="BA549" i="1" s="1"/>
  <c r="BC548" i="1"/>
  <c r="BB548" i="1"/>
  <c r="BA548" i="1" s="1"/>
  <c r="BC547" i="1"/>
  <c r="BB547" i="1"/>
  <c r="BA547" i="1" s="1"/>
  <c r="BC546" i="1"/>
  <c r="BB546" i="1"/>
  <c r="BA546" i="1" s="1"/>
  <c r="BC545" i="1"/>
  <c r="BB545" i="1"/>
  <c r="BA545" i="1" s="1"/>
  <c r="BC544" i="1"/>
  <c r="BA544" i="1" s="1"/>
  <c r="BB544" i="1"/>
  <c r="BC543" i="1"/>
  <c r="BB543" i="1"/>
  <c r="BA543" i="1"/>
  <c r="BC542" i="1"/>
  <c r="BB542" i="1"/>
  <c r="BA542" i="1"/>
  <c r="BC541" i="1"/>
  <c r="BB541" i="1"/>
  <c r="BA541" i="1"/>
  <c r="BC540" i="1"/>
  <c r="BB540" i="1"/>
  <c r="BA540" i="1"/>
  <c r="BC539" i="1"/>
  <c r="BB539" i="1"/>
  <c r="BA539" i="1"/>
  <c r="BC538" i="1"/>
  <c r="BB538" i="1"/>
  <c r="BA538" i="1"/>
  <c r="BC537" i="1"/>
  <c r="BB537" i="1"/>
  <c r="BA537" i="1"/>
  <c r="BC536" i="1"/>
  <c r="BB536" i="1"/>
  <c r="BA536" i="1"/>
  <c r="BC535" i="1"/>
  <c r="BB535" i="1"/>
  <c r="BA535" i="1"/>
  <c r="BC534" i="1"/>
  <c r="BB534" i="1"/>
  <c r="BA534" i="1"/>
  <c r="BC533" i="1"/>
  <c r="BB533" i="1"/>
  <c r="BA533" i="1"/>
  <c r="BC532" i="1"/>
  <c r="BB532" i="1"/>
  <c r="BA532" i="1"/>
  <c r="BC531" i="1"/>
  <c r="BB531" i="1"/>
  <c r="BA531" i="1"/>
  <c r="BC530" i="1"/>
  <c r="BB530" i="1"/>
  <c r="BA530" i="1"/>
  <c r="BC529" i="1"/>
  <c r="BB529" i="1"/>
  <c r="BA529" i="1"/>
  <c r="BC528" i="1"/>
  <c r="BB528" i="1"/>
  <c r="BA528" i="1"/>
  <c r="BC527" i="1"/>
  <c r="BB527" i="1"/>
  <c r="BA527" i="1"/>
  <c r="BC526" i="1"/>
  <c r="BB526" i="1"/>
  <c r="BA526" i="1"/>
  <c r="BC525" i="1"/>
  <c r="BB525" i="1"/>
  <c r="BA525" i="1"/>
  <c r="BC524" i="1"/>
  <c r="BB524" i="1"/>
  <c r="BA524" i="1"/>
  <c r="BC523" i="1"/>
  <c r="BB523" i="1"/>
  <c r="BA523" i="1"/>
  <c r="BC522" i="1"/>
  <c r="BB522" i="1"/>
  <c r="BA522" i="1"/>
  <c r="BC521" i="1"/>
  <c r="BB521" i="1"/>
  <c r="BA521" i="1"/>
  <c r="BC520" i="1"/>
  <c r="BB520" i="1"/>
  <c r="BA520" i="1"/>
  <c r="BC519" i="1"/>
  <c r="BB519" i="1"/>
  <c r="BA519" i="1"/>
  <c r="BC518" i="1"/>
  <c r="BB518" i="1"/>
  <c r="BA518" i="1"/>
  <c r="BC517" i="1"/>
  <c r="BB517" i="1"/>
  <c r="BA517" i="1"/>
  <c r="BC516" i="1"/>
  <c r="BB516" i="1"/>
  <c r="BA516" i="1"/>
  <c r="BC515" i="1"/>
  <c r="BB515" i="1"/>
  <c r="BA515" i="1"/>
  <c r="BC514" i="1"/>
  <c r="BB514" i="1"/>
  <c r="BA514" i="1"/>
  <c r="BC513" i="1"/>
  <c r="BB513" i="1"/>
  <c r="BA513" i="1"/>
  <c r="BC512" i="1"/>
  <c r="BB512" i="1"/>
  <c r="BA512" i="1"/>
  <c r="BC511" i="1"/>
  <c r="BB511" i="1"/>
  <c r="BA511" i="1"/>
  <c r="BC510" i="1"/>
  <c r="BB510" i="1"/>
  <c r="BA510" i="1"/>
  <c r="BC509" i="1"/>
  <c r="BB509" i="1"/>
  <c r="BA509" i="1"/>
  <c r="BC508" i="1"/>
  <c r="BB508" i="1"/>
  <c r="BA508" i="1"/>
  <c r="BC507" i="1"/>
  <c r="BB507" i="1"/>
  <c r="BA507" i="1"/>
  <c r="BC506" i="1"/>
  <c r="BB506" i="1"/>
  <c r="BA506" i="1"/>
  <c r="BC505" i="1"/>
  <c r="BB505" i="1"/>
  <c r="BA505" i="1"/>
  <c r="BC504" i="1"/>
  <c r="BB504" i="1"/>
  <c r="BA504" i="1"/>
  <c r="BC503" i="1"/>
  <c r="BB503" i="1"/>
  <c r="BA503" i="1"/>
  <c r="BC502" i="1"/>
  <c r="BB502" i="1"/>
  <c r="BA502" i="1"/>
  <c r="BC501" i="1"/>
  <c r="BB501" i="1"/>
  <c r="BA501" i="1"/>
  <c r="BC500" i="1"/>
  <c r="BB500" i="1"/>
  <c r="BA500" i="1"/>
  <c r="BC499" i="1"/>
  <c r="BB499" i="1"/>
  <c r="BA499" i="1"/>
  <c r="BC498" i="1"/>
  <c r="BB498" i="1"/>
  <c r="BA498" i="1"/>
  <c r="BC497" i="1"/>
  <c r="BB497" i="1"/>
  <c r="BA497" i="1"/>
  <c r="BC496" i="1"/>
  <c r="BB496" i="1"/>
  <c r="BA496" i="1"/>
  <c r="BC495" i="1"/>
  <c r="BB495" i="1"/>
  <c r="BA495" i="1"/>
  <c r="BC494" i="1"/>
  <c r="BB494" i="1"/>
  <c r="BA494" i="1"/>
  <c r="BC493" i="1"/>
  <c r="BB493" i="1"/>
  <c r="BA493" i="1"/>
  <c r="BC492" i="1"/>
  <c r="BB492" i="1"/>
  <c r="BA492" i="1"/>
  <c r="BC491" i="1"/>
  <c r="BB491" i="1"/>
  <c r="BA491" i="1"/>
  <c r="BC490" i="1"/>
  <c r="BB490" i="1"/>
  <c r="BA490" i="1"/>
  <c r="BC489" i="1"/>
  <c r="BB489" i="1"/>
  <c r="BA489" i="1"/>
  <c r="BC488" i="1"/>
  <c r="BB488" i="1"/>
  <c r="BA488" i="1"/>
  <c r="BC487" i="1"/>
  <c r="BB487" i="1"/>
  <c r="BA487" i="1"/>
  <c r="BC486" i="1"/>
  <c r="BB486" i="1"/>
  <c r="BA486" i="1"/>
  <c r="BC485" i="1"/>
  <c r="BB485" i="1"/>
  <c r="BA485" i="1"/>
  <c r="BC484" i="1"/>
  <c r="BB484" i="1"/>
  <c r="BA484" i="1"/>
  <c r="BC483" i="1"/>
  <c r="BB483" i="1"/>
  <c r="BA483" i="1"/>
  <c r="BC482" i="1"/>
  <c r="BB482" i="1"/>
  <c r="BA482" i="1"/>
  <c r="BC481" i="1"/>
  <c r="BB481" i="1"/>
  <c r="BA481" i="1"/>
  <c r="BC480" i="1"/>
  <c r="BB480" i="1"/>
  <c r="BA480" i="1"/>
  <c r="BC479" i="1"/>
  <c r="BB479" i="1"/>
  <c r="BA479" i="1"/>
  <c r="BC478" i="1"/>
  <c r="BB478" i="1"/>
  <c r="BA478" i="1"/>
  <c r="BC477" i="1"/>
  <c r="BB477" i="1"/>
  <c r="BA477" i="1"/>
  <c r="BC476" i="1"/>
  <c r="BB476" i="1"/>
  <c r="BA476" i="1"/>
  <c r="BC475" i="1"/>
  <c r="BB475" i="1"/>
  <c r="BA475" i="1"/>
  <c r="BC474" i="1"/>
  <c r="BB474" i="1"/>
  <c r="BA474" i="1"/>
  <c r="BC473" i="1"/>
  <c r="BB473" i="1"/>
  <c r="BA473" i="1"/>
  <c r="BC472" i="1"/>
  <c r="BB472" i="1"/>
  <c r="BA472" i="1"/>
  <c r="BC471" i="1"/>
  <c r="BB471" i="1"/>
  <c r="BA471" i="1"/>
  <c r="BC470" i="1"/>
  <c r="BB470" i="1"/>
  <c r="BA470" i="1"/>
  <c r="BC469" i="1"/>
  <c r="BB469" i="1"/>
  <c r="BA469" i="1"/>
  <c r="BC468" i="1"/>
  <c r="BB468" i="1"/>
  <c r="BA468" i="1"/>
  <c r="BC467" i="1"/>
  <c r="BB467" i="1"/>
  <c r="BA467" i="1"/>
  <c r="BC466" i="1"/>
  <c r="BB466" i="1"/>
  <c r="BA466" i="1"/>
  <c r="BC465" i="1"/>
  <c r="BB465" i="1"/>
  <c r="BA465" i="1"/>
  <c r="BC464" i="1"/>
  <c r="BB464" i="1"/>
  <c r="BA464" i="1"/>
  <c r="BC463" i="1"/>
  <c r="BB463" i="1"/>
  <c r="BA463" i="1"/>
  <c r="BC462" i="1"/>
  <c r="BB462" i="1"/>
  <c r="BA462" i="1"/>
  <c r="BC461" i="1"/>
  <c r="BB461" i="1"/>
  <c r="BA461" i="1"/>
  <c r="BC460" i="1"/>
  <c r="BB460" i="1"/>
  <c r="BA460" i="1"/>
  <c r="BC459" i="1"/>
  <c r="BB459" i="1"/>
  <c r="BA459" i="1"/>
  <c r="BC458" i="1"/>
  <c r="BB458" i="1"/>
  <c r="BA458" i="1"/>
  <c r="BC457" i="1"/>
  <c r="BB457" i="1"/>
  <c r="BA457" i="1"/>
  <c r="BC456" i="1"/>
  <c r="BB456" i="1"/>
  <c r="BA456" i="1"/>
  <c r="BC455" i="1"/>
  <c r="BB455" i="1"/>
  <c r="BA455" i="1"/>
  <c r="BC454" i="1"/>
  <c r="BB454" i="1"/>
  <c r="BA454" i="1"/>
  <c r="BC453" i="1"/>
  <c r="BB453" i="1"/>
  <c r="BA453" i="1"/>
  <c r="BC452" i="1"/>
  <c r="BB452" i="1"/>
  <c r="BA452" i="1"/>
  <c r="BC451" i="1"/>
  <c r="BB451" i="1"/>
  <c r="BA451" i="1"/>
  <c r="BC450" i="1"/>
  <c r="BB450" i="1"/>
  <c r="BA450" i="1"/>
  <c r="BC449" i="1"/>
  <c r="BB449" i="1"/>
  <c r="BA449" i="1"/>
  <c r="BC448" i="1"/>
  <c r="BB448" i="1"/>
  <c r="BA448" i="1"/>
  <c r="BC447" i="1"/>
  <c r="BB447" i="1"/>
  <c r="BA447" i="1"/>
  <c r="BC446" i="1"/>
  <c r="BB446" i="1"/>
  <c r="BA446" i="1"/>
  <c r="BC445" i="1"/>
  <c r="BB445" i="1"/>
  <c r="BA445" i="1"/>
  <c r="BC444" i="1"/>
  <c r="BB444" i="1"/>
  <c r="BA444" i="1"/>
  <c r="BC443" i="1"/>
  <c r="BB443" i="1"/>
  <c r="BA443" i="1"/>
  <c r="BC442" i="1"/>
  <c r="BB442" i="1"/>
  <c r="BA442" i="1"/>
  <c r="BC441" i="1"/>
  <c r="BB441" i="1"/>
  <c r="BA441" i="1"/>
  <c r="BC440" i="1"/>
  <c r="BB440" i="1"/>
  <c r="BA440" i="1"/>
  <c r="BC439" i="1"/>
  <c r="BB439" i="1"/>
  <c r="BA439" i="1"/>
  <c r="BC438" i="1"/>
  <c r="BB438" i="1"/>
  <c r="BA438" i="1"/>
  <c r="BC437" i="1"/>
  <c r="BB437" i="1"/>
  <c r="BA437" i="1"/>
  <c r="BC436" i="1"/>
  <c r="BB436" i="1"/>
  <c r="BA436" i="1"/>
  <c r="BC435" i="1"/>
  <c r="BB435" i="1"/>
  <c r="BA435" i="1"/>
  <c r="BC434" i="1"/>
  <c r="BB434" i="1"/>
  <c r="BA434" i="1"/>
  <c r="BC433" i="1"/>
  <c r="BB433" i="1"/>
  <c r="BA433" i="1"/>
  <c r="BC432" i="1"/>
  <c r="BB432" i="1"/>
  <c r="BA432" i="1"/>
  <c r="BC431" i="1"/>
  <c r="BB431" i="1"/>
  <c r="BA431" i="1"/>
  <c r="BC430" i="1"/>
  <c r="BB430" i="1"/>
  <c r="BA430" i="1"/>
  <c r="BC429" i="1"/>
  <c r="BB429" i="1"/>
  <c r="BA429" i="1"/>
  <c r="BC428" i="1"/>
  <c r="BB428" i="1"/>
  <c r="BA428" i="1"/>
  <c r="BC427" i="1"/>
  <c r="BB427" i="1"/>
  <c r="BA427" i="1"/>
  <c r="BC426" i="1"/>
  <c r="BB426" i="1"/>
  <c r="BA426" i="1"/>
  <c r="BC425" i="1"/>
  <c r="BB425" i="1"/>
  <c r="BA425" i="1"/>
  <c r="BC424" i="1"/>
  <c r="BB424" i="1"/>
  <c r="BA424" i="1"/>
  <c r="BC423" i="1"/>
  <c r="BB423" i="1"/>
  <c r="BA423" i="1"/>
  <c r="BC422" i="1"/>
  <c r="BB422" i="1"/>
  <c r="BA422" i="1"/>
  <c r="BC421" i="1"/>
  <c r="BB421" i="1"/>
  <c r="BA421" i="1"/>
  <c r="BC420" i="1"/>
  <c r="BB420" i="1"/>
  <c r="BA420" i="1"/>
  <c r="BC419" i="1"/>
  <c r="BB419" i="1"/>
  <c r="BA419" i="1"/>
  <c r="BC418" i="1"/>
  <c r="BB418" i="1"/>
  <c r="BA418" i="1"/>
  <c r="BC417" i="1"/>
  <c r="BB417" i="1"/>
  <c r="BA417" i="1"/>
  <c r="BC416" i="1"/>
  <c r="BB416" i="1"/>
  <c r="BA416" i="1"/>
  <c r="BC415" i="1"/>
  <c r="BB415" i="1"/>
  <c r="BA415" i="1"/>
  <c r="BC414" i="1"/>
  <c r="BB414" i="1"/>
  <c r="BA414" i="1"/>
  <c r="BC413" i="1"/>
  <c r="BB413" i="1"/>
  <c r="BA413" i="1"/>
  <c r="BC412" i="1"/>
  <c r="BB412" i="1"/>
  <c r="BA412" i="1"/>
  <c r="BC411" i="1"/>
  <c r="BB411" i="1"/>
  <c r="BA411" i="1"/>
  <c r="BC410" i="1"/>
  <c r="BB410" i="1"/>
  <c r="BA410" i="1"/>
  <c r="BC409" i="1"/>
  <c r="BB409" i="1"/>
  <c r="BA409" i="1"/>
  <c r="BC408" i="1"/>
  <c r="BB408" i="1"/>
  <c r="BA408" i="1"/>
  <c r="BC407" i="1"/>
  <c r="BB407" i="1"/>
  <c r="BA407" i="1"/>
  <c r="BC406" i="1"/>
  <c r="BB406" i="1"/>
  <c r="BA406" i="1"/>
  <c r="BC405" i="1"/>
  <c r="BB405" i="1"/>
  <c r="BA405" i="1"/>
  <c r="BC404" i="1"/>
  <c r="BB404" i="1"/>
  <c r="BA404" i="1"/>
  <c r="BC403" i="1"/>
  <c r="BB403" i="1"/>
  <c r="BA403" i="1"/>
  <c r="BC402" i="1"/>
  <c r="BB402" i="1"/>
  <c r="BA402" i="1"/>
  <c r="BC401" i="1"/>
  <c r="BB401" i="1"/>
  <c r="BA401" i="1"/>
  <c r="BC400" i="1"/>
  <c r="BB400" i="1"/>
  <c r="BA400" i="1"/>
  <c r="BC399" i="1"/>
  <c r="BB399" i="1"/>
  <c r="BA399" i="1"/>
  <c r="BC398" i="1"/>
  <c r="BB398" i="1"/>
  <c r="BA398" i="1" s="1"/>
  <c r="BC397" i="1"/>
  <c r="BB397" i="1"/>
  <c r="BA397" i="1"/>
  <c r="BC396" i="1"/>
  <c r="BB396" i="1"/>
  <c r="BA396" i="1" s="1"/>
  <c r="BC395" i="1"/>
  <c r="BB395" i="1"/>
  <c r="BA395" i="1" s="1"/>
  <c r="BC394" i="1"/>
  <c r="BB394" i="1"/>
  <c r="BA394" i="1" s="1"/>
  <c r="BC393" i="1"/>
  <c r="BB393" i="1"/>
  <c r="BA393" i="1"/>
  <c r="BC392" i="1"/>
  <c r="BB392" i="1"/>
  <c r="BA392" i="1"/>
  <c r="BC391" i="1"/>
  <c r="BB391" i="1"/>
  <c r="BA391" i="1" s="1"/>
  <c r="BC390" i="1"/>
  <c r="BB390" i="1"/>
  <c r="BA390" i="1" s="1"/>
  <c r="BC389" i="1"/>
  <c r="BA389" i="1" s="1"/>
  <c r="BB389" i="1"/>
  <c r="BC388" i="1"/>
  <c r="BB388" i="1"/>
  <c r="BA388" i="1"/>
  <c r="BC387" i="1"/>
  <c r="BB387" i="1"/>
  <c r="BA387" i="1"/>
  <c r="BC386" i="1"/>
  <c r="BB386" i="1"/>
  <c r="BA386" i="1"/>
  <c r="BC385" i="1"/>
  <c r="BB385" i="1"/>
  <c r="BA385" i="1"/>
  <c r="BC384" i="1"/>
  <c r="BB384" i="1"/>
  <c r="BA384" i="1"/>
  <c r="BC383" i="1"/>
  <c r="BB383" i="1"/>
  <c r="BA383" i="1"/>
  <c r="BC382" i="1"/>
  <c r="BB382" i="1"/>
  <c r="BA382" i="1"/>
  <c r="BC381" i="1"/>
  <c r="BB381" i="1"/>
  <c r="BA381" i="1"/>
  <c r="BC380" i="1"/>
  <c r="BB380" i="1"/>
  <c r="BA380" i="1"/>
  <c r="BC379" i="1"/>
  <c r="BB379" i="1"/>
  <c r="BA379" i="1"/>
  <c r="BC378" i="1"/>
  <c r="BB378" i="1"/>
  <c r="BA378" i="1"/>
  <c r="BC377" i="1"/>
  <c r="BB377" i="1"/>
  <c r="BA377" i="1"/>
  <c r="BC376" i="1"/>
  <c r="BB376" i="1"/>
  <c r="BA376" i="1"/>
  <c r="BC375" i="1"/>
  <c r="BB375" i="1"/>
  <c r="BA375" i="1"/>
  <c r="BC374" i="1"/>
  <c r="BB374" i="1"/>
  <c r="BA374" i="1"/>
  <c r="BC373" i="1"/>
  <c r="BB373" i="1"/>
  <c r="BA373" i="1"/>
  <c r="BC372" i="1"/>
  <c r="BB372" i="1"/>
  <c r="BA372" i="1"/>
  <c r="BC371" i="1"/>
  <c r="BB371" i="1"/>
  <c r="BA371" i="1"/>
  <c r="BC370" i="1"/>
  <c r="BB370" i="1"/>
  <c r="BA370" i="1"/>
  <c r="BC369" i="1"/>
  <c r="BB369" i="1"/>
  <c r="BA369" i="1"/>
  <c r="BC368" i="1"/>
  <c r="BB368" i="1"/>
  <c r="BA368" i="1"/>
  <c r="BC367" i="1"/>
  <c r="BB367" i="1"/>
  <c r="BA367" i="1"/>
  <c r="BC366" i="1"/>
  <c r="BB366" i="1"/>
  <c r="BA366" i="1"/>
  <c r="BC365" i="1"/>
  <c r="BB365" i="1"/>
  <c r="BA365" i="1"/>
  <c r="BC364" i="1"/>
  <c r="BB364" i="1"/>
  <c r="BA364" i="1"/>
  <c r="BC363" i="1"/>
  <c r="BB363" i="1"/>
  <c r="BA363" i="1"/>
  <c r="BC362" i="1"/>
  <c r="BB362" i="1"/>
  <c r="BA362" i="1"/>
  <c r="BC361" i="1"/>
  <c r="BB361" i="1"/>
  <c r="BA361" i="1"/>
  <c r="BC360" i="1"/>
  <c r="BB360" i="1"/>
  <c r="BA360" i="1"/>
  <c r="BC359" i="1"/>
  <c r="BB359" i="1"/>
  <c r="BA359" i="1"/>
  <c r="BC358" i="1"/>
  <c r="BB358" i="1"/>
  <c r="BA358" i="1"/>
  <c r="BC357" i="1"/>
  <c r="BB357" i="1"/>
  <c r="BA357" i="1"/>
  <c r="BC356" i="1"/>
  <c r="BB356" i="1"/>
  <c r="BA356" i="1"/>
  <c r="BC355" i="1"/>
  <c r="BB355" i="1"/>
  <c r="BA355" i="1"/>
  <c r="BC354" i="1"/>
  <c r="BB354" i="1"/>
  <c r="BA354" i="1"/>
  <c r="BC353" i="1"/>
  <c r="BB353" i="1"/>
  <c r="BA353" i="1"/>
  <c r="BC352" i="1"/>
  <c r="BB352" i="1"/>
  <c r="BA352" i="1"/>
  <c r="BC351" i="1"/>
  <c r="BB351" i="1"/>
  <c r="BA351" i="1"/>
  <c r="BC350" i="1"/>
  <c r="BB350" i="1"/>
  <c r="BA350" i="1"/>
  <c r="BC349" i="1"/>
  <c r="BB349" i="1"/>
  <c r="BA349" i="1"/>
  <c r="BC348" i="1"/>
  <c r="BB348" i="1"/>
  <c r="BA348" i="1"/>
  <c r="BC347" i="1"/>
  <c r="BB347" i="1"/>
  <c r="BA347" i="1"/>
  <c r="BC346" i="1"/>
  <c r="BB346" i="1"/>
  <c r="BA346" i="1"/>
  <c r="BC345" i="1"/>
  <c r="BB345" i="1"/>
  <c r="BA345" i="1"/>
  <c r="BC344" i="1"/>
  <c r="BB344" i="1"/>
  <c r="BA344" i="1"/>
  <c r="BC343" i="1"/>
  <c r="BB343" i="1"/>
  <c r="BA343" i="1"/>
  <c r="BC342" i="1"/>
  <c r="BB342" i="1"/>
  <c r="BA342" i="1"/>
  <c r="BC341" i="1"/>
  <c r="BB341" i="1"/>
  <c r="BA341" i="1"/>
  <c r="BC340" i="1"/>
  <c r="BB340" i="1"/>
  <c r="BA340" i="1"/>
  <c r="BC339" i="1"/>
  <c r="BB339" i="1"/>
  <c r="BA339" i="1"/>
  <c r="BC338" i="1"/>
  <c r="BB338" i="1"/>
  <c r="BA338" i="1"/>
  <c r="BC337" i="1"/>
  <c r="BB337" i="1"/>
  <c r="BA337" i="1"/>
  <c r="BC336" i="1"/>
  <c r="BB336" i="1"/>
  <c r="BA336" i="1"/>
  <c r="BC335" i="1"/>
  <c r="BB335" i="1"/>
  <c r="BA335" i="1"/>
  <c r="BC334" i="1"/>
  <c r="BB334" i="1"/>
  <c r="BA334" i="1"/>
  <c r="BC333" i="1"/>
  <c r="BB333" i="1"/>
  <c r="BA333" i="1"/>
  <c r="BC332" i="1"/>
  <c r="BB332" i="1"/>
  <c r="BA332" i="1"/>
  <c r="BC331" i="1"/>
  <c r="BB331" i="1"/>
  <c r="BA331" i="1"/>
  <c r="BC330" i="1"/>
  <c r="BB330" i="1"/>
  <c r="BA330" i="1"/>
  <c r="BC329" i="1"/>
  <c r="BB329" i="1"/>
  <c r="BA329" i="1"/>
  <c r="BC328" i="1"/>
  <c r="BB328" i="1"/>
  <c r="BA328" i="1"/>
  <c r="BC327" i="1"/>
  <c r="BB327" i="1"/>
  <c r="BA327" i="1"/>
  <c r="BC326" i="1"/>
  <c r="BB326" i="1"/>
  <c r="BA326" i="1"/>
  <c r="BC325" i="1"/>
  <c r="BB325" i="1"/>
  <c r="BA325" i="1" s="1"/>
  <c r="BC324" i="1"/>
  <c r="BB324" i="1"/>
  <c r="BA324" i="1" s="1"/>
  <c r="BC323" i="1"/>
  <c r="BB323" i="1"/>
  <c r="BA323" i="1"/>
  <c r="BC322" i="1"/>
  <c r="BB322" i="1"/>
  <c r="BA322" i="1" s="1"/>
  <c r="BC321" i="1"/>
  <c r="BB321" i="1"/>
  <c r="BA321" i="1"/>
  <c r="BC320" i="1"/>
  <c r="BB320" i="1"/>
  <c r="BA320" i="1" s="1"/>
  <c r="BC319" i="1"/>
  <c r="BB319" i="1"/>
  <c r="BA319" i="1"/>
  <c r="BC318" i="1"/>
  <c r="BB318" i="1"/>
  <c r="BA318" i="1" s="1"/>
  <c r="BC317" i="1"/>
  <c r="BB317" i="1"/>
  <c r="BA317" i="1"/>
  <c r="BC316" i="1"/>
  <c r="BB316" i="1"/>
  <c r="BA316" i="1" s="1"/>
  <c r="BC315" i="1"/>
  <c r="BB315" i="1"/>
  <c r="BA315" i="1"/>
  <c r="BC314" i="1"/>
  <c r="BB314" i="1"/>
  <c r="BA314" i="1" s="1"/>
  <c r="BC313" i="1"/>
  <c r="BB313" i="1"/>
  <c r="BA313" i="1"/>
  <c r="BC312" i="1"/>
  <c r="BB312" i="1"/>
  <c r="BA312" i="1" s="1"/>
  <c r="BC311" i="1"/>
  <c r="BB311" i="1"/>
  <c r="BA311" i="1"/>
  <c r="BC310" i="1"/>
  <c r="BB310" i="1"/>
  <c r="BA310" i="1"/>
  <c r="BC309" i="1"/>
  <c r="BB309" i="1"/>
  <c r="BA309" i="1"/>
  <c r="BC308" i="1"/>
  <c r="BB308" i="1"/>
  <c r="BA308" i="1"/>
  <c r="BC307" i="1"/>
  <c r="BB307" i="1"/>
  <c r="BA307" i="1"/>
  <c r="BC306" i="1"/>
  <c r="BB306" i="1"/>
  <c r="BA306" i="1"/>
  <c r="BC305" i="1"/>
  <c r="BB305" i="1"/>
  <c r="BA305" i="1"/>
  <c r="BC304" i="1"/>
  <c r="BB304" i="1"/>
  <c r="BA304" i="1"/>
  <c r="BC303" i="1"/>
  <c r="BB303" i="1"/>
  <c r="BA303" i="1"/>
  <c r="BC302" i="1"/>
  <c r="BB302" i="1"/>
  <c r="BA302" i="1"/>
  <c r="BC301" i="1"/>
  <c r="BB301" i="1"/>
  <c r="BA301" i="1"/>
  <c r="BC300" i="1"/>
  <c r="BB300" i="1"/>
  <c r="BA300" i="1"/>
  <c r="BC299" i="1"/>
  <c r="BB299" i="1"/>
  <c r="BA299" i="1"/>
  <c r="BC298" i="1"/>
  <c r="BB298" i="1"/>
  <c r="BA298" i="1"/>
  <c r="BC297" i="1"/>
  <c r="BB297" i="1"/>
  <c r="BA297" i="1"/>
  <c r="BC296" i="1"/>
  <c r="BB296" i="1"/>
  <c r="BA296" i="1"/>
  <c r="BC295" i="1"/>
  <c r="BB295" i="1"/>
  <c r="BA295" i="1"/>
  <c r="BC294" i="1"/>
  <c r="BB294" i="1"/>
  <c r="BA294" i="1"/>
  <c r="BC293" i="1"/>
  <c r="BB293" i="1"/>
  <c r="BA293" i="1"/>
  <c r="BC292" i="1"/>
  <c r="BB292" i="1"/>
  <c r="BA292" i="1"/>
  <c r="BC291" i="1"/>
  <c r="BB291" i="1"/>
  <c r="BA291" i="1"/>
  <c r="BC290" i="1"/>
  <c r="BB290" i="1"/>
  <c r="BA290" i="1"/>
  <c r="BC289" i="1"/>
  <c r="BB289" i="1"/>
  <c r="BA289" i="1"/>
  <c r="BC288" i="1"/>
  <c r="BB288" i="1"/>
  <c r="BA288" i="1"/>
  <c r="BC287" i="1"/>
  <c r="BB287" i="1"/>
  <c r="BA287" i="1"/>
  <c r="BC286" i="1"/>
  <c r="BB286" i="1"/>
  <c r="BA286" i="1"/>
  <c r="BC285" i="1"/>
  <c r="BB285" i="1"/>
  <c r="BA285" i="1"/>
  <c r="BC284" i="1"/>
  <c r="BB284" i="1"/>
  <c r="BA284" i="1"/>
  <c r="BC283" i="1"/>
  <c r="BB283" i="1"/>
  <c r="BA283" i="1"/>
  <c r="BC282" i="1"/>
  <c r="BB282" i="1"/>
  <c r="BA282" i="1"/>
  <c r="BC281" i="1"/>
  <c r="BB281" i="1"/>
  <c r="BA281" i="1"/>
  <c r="BC280" i="1"/>
  <c r="BB280" i="1"/>
  <c r="BA280" i="1"/>
  <c r="BC279" i="1"/>
  <c r="BB279" i="1"/>
  <c r="BA279" i="1"/>
  <c r="BC278" i="1"/>
  <c r="BB278" i="1"/>
  <c r="BA278" i="1"/>
  <c r="BC277" i="1"/>
  <c r="BB277" i="1"/>
  <c r="BA277" i="1"/>
  <c r="BC276" i="1"/>
  <c r="BB276" i="1"/>
  <c r="BA276" i="1"/>
  <c r="BC275" i="1"/>
  <c r="BB275" i="1"/>
  <c r="BA275" i="1"/>
  <c r="BC274" i="1"/>
  <c r="BB274" i="1"/>
  <c r="BA274" i="1"/>
  <c r="BC273" i="1"/>
  <c r="BB273" i="1"/>
  <c r="BA273" i="1"/>
  <c r="BC272" i="1"/>
  <c r="BB272" i="1"/>
  <c r="BA272" i="1"/>
  <c r="BC271" i="1"/>
  <c r="BB271" i="1"/>
  <c r="BA271" i="1"/>
  <c r="BC270" i="1"/>
  <c r="BB270" i="1"/>
  <c r="BA270" i="1"/>
  <c r="BC269" i="1"/>
  <c r="BB269" i="1"/>
  <c r="BA269" i="1"/>
  <c r="BC268" i="1"/>
  <c r="BB268" i="1"/>
  <c r="BA268" i="1"/>
  <c r="BC267" i="1"/>
  <c r="BB267" i="1"/>
  <c r="BA267" i="1"/>
  <c r="BC266" i="1"/>
  <c r="BB266" i="1"/>
  <c r="BA266" i="1"/>
  <c r="BC265" i="1"/>
  <c r="BB265" i="1"/>
  <c r="BA265" i="1"/>
  <c r="BC264" i="1"/>
  <c r="BB264" i="1"/>
  <c r="BA264" i="1"/>
  <c r="BC263" i="1"/>
  <c r="BB263" i="1"/>
  <c r="BA263" i="1"/>
  <c r="BC262" i="1"/>
  <c r="BB262" i="1"/>
  <c r="BA262" i="1"/>
  <c r="BC261" i="1"/>
  <c r="BB261" i="1"/>
  <c r="BA261" i="1"/>
  <c r="BC260" i="1"/>
  <c r="BB260" i="1"/>
  <c r="BA260" i="1"/>
  <c r="BC259" i="1"/>
  <c r="BB259" i="1"/>
  <c r="BA259" i="1"/>
  <c r="BC258" i="1"/>
  <c r="BB258" i="1"/>
  <c r="BA258" i="1"/>
  <c r="BC257" i="1"/>
  <c r="BB257" i="1"/>
  <c r="BA257" i="1"/>
  <c r="BC256" i="1"/>
  <c r="BB256" i="1"/>
  <c r="BA256" i="1"/>
  <c r="BC255" i="1"/>
  <c r="BB255" i="1"/>
  <c r="BA255" i="1"/>
  <c r="BC254" i="1"/>
  <c r="BB254" i="1"/>
  <c r="BA254" i="1"/>
  <c r="BC253" i="1"/>
  <c r="BB253" i="1"/>
  <c r="BA253" i="1"/>
  <c r="BC252" i="1"/>
  <c r="BB252" i="1"/>
  <c r="BA252" i="1"/>
  <c r="BC251" i="1"/>
  <c r="BB251" i="1"/>
  <c r="BA251" i="1"/>
  <c r="BC250" i="1"/>
  <c r="BB250" i="1"/>
  <c r="BA250" i="1"/>
  <c r="BC249" i="1"/>
  <c r="BB249" i="1"/>
  <c r="BA249" i="1" s="1"/>
  <c r="BC248" i="1"/>
  <c r="BB248" i="1"/>
  <c r="BA248" i="1"/>
  <c r="BC247" i="1"/>
  <c r="BB247" i="1"/>
  <c r="BA247" i="1" s="1"/>
  <c r="BC246" i="1"/>
  <c r="BB246" i="1"/>
  <c r="BA246" i="1" s="1"/>
  <c r="BC245" i="1"/>
  <c r="BB245" i="1"/>
  <c r="BA245" i="1" s="1"/>
  <c r="BC244" i="1"/>
  <c r="BB244" i="1"/>
  <c r="BA244" i="1" s="1"/>
  <c r="BC243" i="1"/>
  <c r="BB243" i="1"/>
  <c r="BA243" i="1" s="1"/>
  <c r="BC242" i="1"/>
  <c r="BB242" i="1"/>
  <c r="BA242" i="1" s="1"/>
  <c r="BC241" i="1"/>
  <c r="BB241" i="1"/>
  <c r="BA241" i="1" s="1"/>
  <c r="BC240" i="1"/>
  <c r="BB240" i="1"/>
  <c r="BA240" i="1" s="1"/>
  <c r="BC239" i="1"/>
  <c r="BB239" i="1"/>
  <c r="BA239" i="1" s="1"/>
  <c r="BC238" i="1"/>
  <c r="BB238" i="1"/>
  <c r="BA238" i="1" s="1"/>
  <c r="BC237" i="1"/>
  <c r="BB237" i="1"/>
  <c r="BA237" i="1" s="1"/>
  <c r="BC236" i="1"/>
  <c r="BB236" i="1"/>
  <c r="BA236" i="1" s="1"/>
  <c r="BC235" i="1"/>
  <c r="BB235" i="1"/>
  <c r="BA235" i="1" s="1"/>
  <c r="BC234" i="1"/>
  <c r="BA234" i="1" s="1"/>
  <c r="BB234" i="1"/>
  <c r="BC233" i="1"/>
  <c r="BB233" i="1"/>
  <c r="BA233" i="1"/>
  <c r="BC232" i="1"/>
  <c r="BB232" i="1"/>
  <c r="BA232" i="1"/>
  <c r="BC231" i="1"/>
  <c r="BB231" i="1"/>
  <c r="BA231" i="1"/>
  <c r="BC230" i="1"/>
  <c r="BB230" i="1"/>
  <c r="BA230" i="1"/>
  <c r="BC229" i="1"/>
  <c r="BB229" i="1"/>
  <c r="BA229" i="1"/>
  <c r="BC228" i="1"/>
  <c r="BB228" i="1"/>
  <c r="BA228" i="1"/>
  <c r="BC227" i="1"/>
  <c r="BB227" i="1"/>
  <c r="BA227" i="1"/>
  <c r="BC226" i="1"/>
  <c r="BB226" i="1"/>
  <c r="BA226" i="1"/>
  <c r="BC225" i="1"/>
  <c r="BB225" i="1"/>
  <c r="BA225" i="1"/>
  <c r="BC224" i="1"/>
  <c r="BB224" i="1"/>
  <c r="BA224" i="1"/>
  <c r="BC223" i="1"/>
  <c r="BB223" i="1"/>
  <c r="BA223" i="1"/>
  <c r="BC222" i="1"/>
  <c r="BB222" i="1"/>
  <c r="BA222" i="1"/>
  <c r="BC221" i="1"/>
  <c r="BB221" i="1"/>
  <c r="BA221" i="1"/>
  <c r="BC220" i="1"/>
  <c r="BB220" i="1"/>
  <c r="BA220" i="1"/>
  <c r="BC219" i="1"/>
  <c r="BB219" i="1"/>
  <c r="BA219" i="1"/>
  <c r="BC218" i="1"/>
  <c r="BB218" i="1"/>
  <c r="BA218" i="1"/>
  <c r="BC217" i="1"/>
  <c r="BB217" i="1"/>
  <c r="BA217" i="1"/>
  <c r="BC216" i="1"/>
  <c r="BB216" i="1"/>
  <c r="BA216" i="1"/>
  <c r="BC215" i="1"/>
  <c r="BB215" i="1"/>
  <c r="BA215" i="1"/>
  <c r="BC214" i="1"/>
  <c r="BB214" i="1"/>
  <c r="BA214" i="1"/>
  <c r="BC213" i="1"/>
  <c r="BB213" i="1"/>
  <c r="BA213" i="1"/>
  <c r="BC212" i="1"/>
  <c r="BB212" i="1"/>
  <c r="BA212" i="1"/>
  <c r="BC211" i="1"/>
  <c r="BB211" i="1"/>
  <c r="BA211" i="1"/>
  <c r="BC210" i="1"/>
  <c r="BB210" i="1"/>
  <c r="BA210" i="1"/>
  <c r="BC209" i="1"/>
  <c r="BB209" i="1"/>
  <c r="BA209" i="1"/>
  <c r="BC208" i="1"/>
  <c r="BB208" i="1"/>
  <c r="BA208" i="1"/>
  <c r="BC207" i="1"/>
  <c r="BB207" i="1"/>
  <c r="BA207" i="1"/>
  <c r="BC206" i="1"/>
  <c r="BB206" i="1"/>
  <c r="BA206" i="1"/>
  <c r="BC205" i="1"/>
  <c r="BB205" i="1"/>
  <c r="BA205" i="1"/>
  <c r="BC204" i="1"/>
  <c r="BB204" i="1"/>
  <c r="BA204" i="1"/>
  <c r="BC203" i="1"/>
  <c r="BB203" i="1"/>
  <c r="BA203" i="1"/>
  <c r="BC202" i="1"/>
  <c r="BB202" i="1"/>
  <c r="BA202" i="1"/>
  <c r="BC201" i="1"/>
  <c r="BB201" i="1"/>
  <c r="BA201" i="1"/>
  <c r="BC200" i="1"/>
  <c r="BB200" i="1"/>
  <c r="BA200" i="1"/>
  <c r="BC199" i="1"/>
  <c r="BB199" i="1"/>
  <c r="BA199" i="1"/>
  <c r="BC198" i="1"/>
  <c r="BB198" i="1"/>
  <c r="BA198" i="1"/>
  <c r="BC197" i="1"/>
  <c r="BB197" i="1"/>
  <c r="BA197" i="1"/>
  <c r="BC196" i="1"/>
  <c r="BB196" i="1"/>
  <c r="BA196" i="1"/>
  <c r="BC195" i="1"/>
  <c r="BB195" i="1"/>
  <c r="BA195" i="1"/>
  <c r="BC194" i="1"/>
  <c r="BB194" i="1"/>
  <c r="BA194" i="1"/>
  <c r="BC193" i="1"/>
  <c r="BB193" i="1"/>
  <c r="BA193" i="1"/>
  <c r="BC192" i="1"/>
  <c r="BB192" i="1"/>
  <c r="BA192" i="1"/>
  <c r="BC191" i="1"/>
  <c r="BB191" i="1"/>
  <c r="BA191" i="1"/>
  <c r="BC190" i="1"/>
  <c r="BB190" i="1"/>
  <c r="BA190" i="1"/>
  <c r="BC189" i="1"/>
  <c r="BB189" i="1"/>
  <c r="BA189" i="1"/>
  <c r="BC188" i="1"/>
  <c r="BB188" i="1"/>
  <c r="BA188" i="1"/>
  <c r="BC187" i="1"/>
  <c r="BB187" i="1"/>
  <c r="BA187" i="1"/>
  <c r="BC186" i="1"/>
  <c r="BB186" i="1"/>
  <c r="BA186" i="1"/>
  <c r="BC185" i="1"/>
  <c r="BB185" i="1"/>
  <c r="BA185" i="1"/>
  <c r="BC184" i="1"/>
  <c r="BB184" i="1"/>
  <c r="BA184" i="1"/>
  <c r="BC183" i="1"/>
  <c r="BB183" i="1"/>
  <c r="BA183" i="1"/>
  <c r="BC182" i="1"/>
  <c r="BB182" i="1"/>
  <c r="BA182" i="1"/>
  <c r="BC181" i="1"/>
  <c r="BB181" i="1"/>
  <c r="BA181" i="1"/>
  <c r="BC180" i="1"/>
  <c r="BB180" i="1"/>
  <c r="BA180" i="1"/>
  <c r="BC179" i="1"/>
  <c r="BB179" i="1"/>
  <c r="BA179" i="1"/>
  <c r="BC178" i="1"/>
  <c r="BB178" i="1"/>
  <c r="BA178" i="1"/>
  <c r="BC177" i="1"/>
  <c r="BB177" i="1"/>
  <c r="BA177" i="1"/>
  <c r="BC176" i="1"/>
  <c r="BB176" i="1"/>
  <c r="BA176" i="1"/>
  <c r="BC175" i="1"/>
  <c r="BB175" i="1"/>
  <c r="BA175" i="1"/>
  <c r="BC174" i="1"/>
  <c r="BB174" i="1"/>
  <c r="BA174" i="1"/>
  <c r="BC173" i="1"/>
  <c r="BB173" i="1"/>
  <c r="BA173" i="1"/>
  <c r="BC172" i="1"/>
  <c r="BB172" i="1"/>
  <c r="BA172" i="1"/>
  <c r="BC171" i="1"/>
  <c r="BB171" i="1"/>
  <c r="BA171" i="1"/>
  <c r="BC170" i="1"/>
  <c r="BB170" i="1"/>
  <c r="BA170" i="1"/>
  <c r="BC169" i="1"/>
  <c r="BB169" i="1"/>
  <c r="BA169" i="1"/>
  <c r="BC168" i="1"/>
  <c r="BB168" i="1"/>
  <c r="BA168" i="1"/>
  <c r="BC167" i="1"/>
  <c r="BB167" i="1"/>
  <c r="BA167" i="1"/>
  <c r="BC166" i="1"/>
  <c r="BB166" i="1"/>
  <c r="BA166" i="1"/>
  <c r="BC165" i="1"/>
  <c r="BB165" i="1"/>
  <c r="BA165" i="1"/>
  <c r="BC164" i="1"/>
  <c r="BB164" i="1"/>
  <c r="BA164" i="1"/>
  <c r="BC163" i="1"/>
  <c r="BB163" i="1"/>
  <c r="BA163" i="1"/>
  <c r="BC162" i="1"/>
  <c r="BB162" i="1"/>
  <c r="BA162" i="1"/>
  <c r="BC161" i="1"/>
  <c r="BB161" i="1"/>
  <c r="BA161" i="1"/>
  <c r="BC160" i="1"/>
  <c r="BB160" i="1"/>
  <c r="BA160" i="1" s="1"/>
  <c r="BC159" i="1"/>
  <c r="BB159" i="1"/>
  <c r="BA159" i="1" s="1"/>
  <c r="BC158" i="1"/>
  <c r="BB158" i="1"/>
  <c r="BA158" i="1" s="1"/>
  <c r="BC157" i="1"/>
  <c r="BB157" i="1"/>
  <c r="BA157" i="1" s="1"/>
  <c r="BC156" i="1"/>
  <c r="BB156" i="1"/>
  <c r="BA156" i="1"/>
  <c r="BC155" i="1"/>
  <c r="BB155" i="1"/>
  <c r="BA155" i="1"/>
  <c r="BC154" i="1"/>
  <c r="BB154" i="1"/>
  <c r="BA154" i="1"/>
  <c r="BC153" i="1"/>
  <c r="BB153" i="1"/>
  <c r="BA153" i="1"/>
  <c r="BC152" i="1"/>
  <c r="BB152" i="1"/>
  <c r="BA152" i="1"/>
  <c r="BC151" i="1"/>
  <c r="BB151" i="1"/>
  <c r="BA151" i="1"/>
  <c r="BC150" i="1"/>
  <c r="BB150" i="1"/>
  <c r="BA150" i="1"/>
  <c r="BC149" i="1"/>
  <c r="BB149" i="1"/>
  <c r="BA149" i="1"/>
  <c r="BC148" i="1"/>
  <c r="BB148" i="1"/>
  <c r="BA148" i="1"/>
  <c r="BC147" i="1"/>
  <c r="BB147" i="1"/>
  <c r="BA147" i="1"/>
  <c r="BC146" i="1"/>
  <c r="BB146" i="1"/>
  <c r="BA146" i="1"/>
  <c r="BC145" i="1"/>
  <c r="BB145" i="1"/>
  <c r="BA145" i="1"/>
  <c r="BC144" i="1"/>
  <c r="BB144" i="1"/>
  <c r="BA144" i="1"/>
  <c r="BC143" i="1"/>
  <c r="BB143" i="1"/>
  <c r="BA143" i="1"/>
  <c r="BC142" i="1"/>
  <c r="BB142" i="1"/>
  <c r="BA142" i="1"/>
  <c r="BC141" i="1"/>
  <c r="BB141" i="1"/>
  <c r="BA141" i="1"/>
  <c r="BC140" i="1"/>
  <c r="BB140" i="1"/>
  <c r="BA140" i="1"/>
  <c r="BC139" i="1"/>
  <c r="BB139" i="1"/>
  <c r="BA139" i="1"/>
  <c r="BC138" i="1"/>
  <c r="BB138" i="1"/>
  <c r="BA138" i="1"/>
  <c r="BC137" i="1"/>
  <c r="BB137" i="1"/>
  <c r="BA137" i="1"/>
  <c r="BC136" i="1"/>
  <c r="BB136" i="1"/>
  <c r="BA136" i="1"/>
  <c r="BC135" i="1"/>
  <c r="BB135" i="1"/>
  <c r="BA135" i="1"/>
  <c r="BC134" i="1"/>
  <c r="BB134" i="1"/>
  <c r="BA134" i="1"/>
  <c r="BC133" i="1"/>
  <c r="BB133" i="1"/>
  <c r="BA133" i="1"/>
  <c r="BC132" i="1"/>
  <c r="BB132" i="1"/>
  <c r="BA132" i="1"/>
  <c r="BC131" i="1"/>
  <c r="BB131" i="1"/>
  <c r="BA131" i="1"/>
  <c r="BC130" i="1"/>
  <c r="BB130" i="1"/>
  <c r="BA130" i="1"/>
  <c r="BC129" i="1"/>
  <c r="BB129" i="1"/>
  <c r="BA129" i="1"/>
  <c r="BC128" i="1"/>
  <c r="BB128" i="1"/>
  <c r="BA128" i="1"/>
  <c r="BC127" i="1"/>
  <c r="BB127" i="1"/>
  <c r="BA127" i="1"/>
  <c r="BC126" i="1"/>
  <c r="BB126" i="1"/>
  <c r="BA126" i="1"/>
  <c r="BC125" i="1"/>
  <c r="BB125" i="1"/>
  <c r="BA125" i="1"/>
  <c r="BC124" i="1"/>
  <c r="BB124" i="1"/>
  <c r="BA124" i="1"/>
  <c r="BC123" i="1"/>
  <c r="BB123" i="1"/>
  <c r="BA123" i="1"/>
  <c r="BC122" i="1"/>
  <c r="BB122" i="1"/>
  <c r="BA122" i="1"/>
  <c r="BC121" i="1"/>
  <c r="BB121" i="1"/>
  <c r="BA121" i="1"/>
  <c r="BC120" i="1"/>
  <c r="BB120" i="1"/>
  <c r="BA120" i="1"/>
  <c r="BC119" i="1"/>
  <c r="BB119" i="1"/>
  <c r="BA119" i="1"/>
  <c r="BC118" i="1"/>
  <c r="BB118" i="1"/>
  <c r="BA118" i="1"/>
  <c r="BC117" i="1"/>
  <c r="BB117" i="1"/>
  <c r="BA117" i="1"/>
  <c r="BC116" i="1"/>
  <c r="BB116" i="1"/>
  <c r="BA116" i="1"/>
  <c r="BC115" i="1"/>
  <c r="BB115" i="1"/>
  <c r="BA115" i="1"/>
  <c r="BC114" i="1"/>
  <c r="BB114" i="1"/>
  <c r="BA114" i="1"/>
  <c r="BC113" i="1"/>
  <c r="BB113" i="1"/>
  <c r="BA113" i="1"/>
  <c r="BC112" i="1"/>
  <c r="BB112" i="1"/>
  <c r="BA112" i="1"/>
  <c r="BC111" i="1"/>
  <c r="BB111" i="1"/>
  <c r="BA111" i="1"/>
  <c r="BC110" i="1"/>
  <c r="BB110" i="1"/>
  <c r="BA110" i="1"/>
  <c r="BC109" i="1"/>
  <c r="BB109" i="1"/>
  <c r="BA109" i="1"/>
  <c r="BC108" i="1"/>
  <c r="BB108" i="1"/>
  <c r="BA108" i="1"/>
  <c r="BC107" i="1"/>
  <c r="BB107" i="1"/>
  <c r="BA107" i="1"/>
  <c r="BC106" i="1"/>
  <c r="BB106" i="1"/>
  <c r="BA106" i="1"/>
  <c r="BC105" i="1"/>
  <c r="BB105" i="1"/>
  <c r="BA105" i="1"/>
  <c r="BC104" i="1"/>
  <c r="BB104" i="1"/>
  <c r="BA104" i="1"/>
  <c r="BC103" i="1"/>
  <c r="BB103" i="1"/>
  <c r="BA103" i="1"/>
  <c r="BC102" i="1"/>
  <c r="BB102" i="1"/>
  <c r="BA102" i="1"/>
  <c r="BC101" i="1"/>
  <c r="BB101" i="1"/>
  <c r="BA101" i="1"/>
  <c r="BC100" i="1"/>
  <c r="BB100" i="1"/>
  <c r="BA100" i="1"/>
  <c r="BC99" i="1"/>
  <c r="BB99" i="1"/>
  <c r="BA99" i="1"/>
  <c r="BC98" i="1"/>
  <c r="BB98" i="1"/>
  <c r="BA98" i="1"/>
  <c r="BC97" i="1"/>
  <c r="BB97" i="1"/>
  <c r="BA97" i="1"/>
  <c r="BC96" i="1"/>
  <c r="BB96" i="1"/>
  <c r="BA96" i="1"/>
  <c r="BC95" i="1"/>
  <c r="BB95" i="1"/>
  <c r="BA95" i="1"/>
  <c r="BC94" i="1"/>
  <c r="BB94" i="1"/>
  <c r="BA94" i="1"/>
  <c r="BC93" i="1"/>
  <c r="BB93" i="1"/>
  <c r="BA93" i="1"/>
  <c r="BC92" i="1"/>
  <c r="BB92" i="1"/>
  <c r="BA92" i="1"/>
  <c r="BC91" i="1"/>
  <c r="BB91" i="1"/>
  <c r="BA91" i="1"/>
  <c r="BC90" i="1"/>
  <c r="BB90" i="1"/>
  <c r="BA90" i="1"/>
  <c r="BC89" i="1"/>
  <c r="BB89" i="1"/>
  <c r="BA89" i="1"/>
  <c r="BC88" i="1"/>
  <c r="BB88" i="1"/>
  <c r="BA88" i="1"/>
  <c r="BC87" i="1"/>
  <c r="BB87" i="1"/>
  <c r="BA87" i="1"/>
  <c r="BC86" i="1"/>
  <c r="BB86" i="1"/>
  <c r="BA86" i="1"/>
  <c r="BC85" i="1"/>
  <c r="BB85" i="1"/>
  <c r="BA85" i="1" s="1"/>
  <c r="BC84" i="1"/>
  <c r="BB84" i="1"/>
  <c r="BA84" i="1" s="1"/>
  <c r="BC83" i="1"/>
  <c r="BB83" i="1"/>
  <c r="BA83" i="1" s="1"/>
  <c r="BC82" i="1"/>
  <c r="BB82" i="1"/>
  <c r="BA82" i="1" s="1"/>
  <c r="BC81" i="1"/>
  <c r="BB81" i="1"/>
  <c r="BA81" i="1" s="1"/>
  <c r="BC80" i="1"/>
  <c r="BB80" i="1"/>
  <c r="BA80" i="1" s="1"/>
  <c r="BC79" i="1"/>
  <c r="BA79" i="1" s="1"/>
  <c r="BB79" i="1"/>
  <c r="BC78" i="1"/>
  <c r="BB78" i="1"/>
  <c r="BA78" i="1"/>
  <c r="BC77" i="1"/>
  <c r="BB77" i="1"/>
  <c r="BA77" i="1"/>
  <c r="BC76" i="1"/>
  <c r="BB76" i="1"/>
  <c r="BA76" i="1"/>
  <c r="BC75" i="1"/>
  <c r="BB75" i="1"/>
  <c r="BA75" i="1"/>
  <c r="BC74" i="1"/>
  <c r="BB74" i="1"/>
  <c r="BA74" i="1"/>
  <c r="BC73" i="1"/>
  <c r="BB73" i="1"/>
  <c r="BA73" i="1"/>
  <c r="BC72" i="1"/>
  <c r="BB72" i="1"/>
  <c r="BA72" i="1"/>
  <c r="BC71" i="1"/>
  <c r="BB71" i="1"/>
  <c r="BA71" i="1"/>
  <c r="BC70" i="1"/>
  <c r="BB70" i="1"/>
  <c r="BA70" i="1"/>
  <c r="BC69" i="1"/>
  <c r="BB69" i="1"/>
  <c r="BA69" i="1"/>
  <c r="BC68" i="1"/>
  <c r="BB68" i="1"/>
  <c r="BA68" i="1"/>
  <c r="BC67" i="1"/>
  <c r="BB67" i="1"/>
  <c r="BA67" i="1"/>
  <c r="BC66" i="1"/>
  <c r="BB66" i="1"/>
  <c r="BA66" i="1"/>
  <c r="BC65" i="1"/>
  <c r="BB65" i="1"/>
  <c r="BA65" i="1" s="1"/>
  <c r="BC64" i="1"/>
  <c r="BB64" i="1"/>
  <c r="BA64" i="1" s="1"/>
  <c r="BC63" i="1"/>
  <c r="BB63" i="1"/>
  <c r="BA63" i="1" s="1"/>
  <c r="BC62" i="1"/>
  <c r="BB62" i="1"/>
  <c r="BA62" i="1" s="1"/>
  <c r="BC61" i="1"/>
  <c r="BB61" i="1"/>
  <c r="BA61" i="1" s="1"/>
  <c r="BC60" i="1"/>
  <c r="BB60" i="1"/>
  <c r="BA60" i="1" s="1"/>
  <c r="BC59" i="1"/>
  <c r="BB59" i="1"/>
  <c r="BA59" i="1" s="1"/>
  <c r="BC58" i="1"/>
  <c r="BB58" i="1"/>
  <c r="BA58" i="1" s="1"/>
  <c r="BC57" i="1"/>
  <c r="BB57" i="1"/>
  <c r="BA57" i="1" s="1"/>
  <c r="BC56" i="1"/>
  <c r="BB56" i="1"/>
  <c r="BA56" i="1" s="1"/>
  <c r="BC55" i="1"/>
  <c r="BB55" i="1"/>
  <c r="BA55" i="1" s="1"/>
  <c r="BC54" i="1"/>
  <c r="BB54" i="1"/>
  <c r="BA54" i="1" s="1"/>
  <c r="BC53" i="1"/>
  <c r="BB53" i="1"/>
  <c r="BA53" i="1" s="1"/>
  <c r="BC52" i="1"/>
  <c r="BB52" i="1"/>
  <c r="BA52" i="1" s="1"/>
  <c r="BC51" i="1"/>
  <c r="BB51" i="1"/>
  <c r="BA51" i="1" s="1"/>
  <c r="BC50" i="1"/>
  <c r="BB50" i="1"/>
  <c r="BA50" i="1" s="1"/>
  <c r="BC49" i="1"/>
  <c r="BB49" i="1"/>
  <c r="BA49" i="1" s="1"/>
  <c r="BC48" i="1"/>
  <c r="BB48" i="1"/>
  <c r="BA48" i="1" s="1"/>
  <c r="BC47" i="1"/>
  <c r="BB47" i="1"/>
  <c r="BA47" i="1" s="1"/>
  <c r="BC46" i="1"/>
  <c r="BB46" i="1"/>
  <c r="BA46" i="1" s="1"/>
  <c r="BC45" i="1"/>
  <c r="BB45" i="1"/>
  <c r="BA45" i="1" s="1"/>
  <c r="BC44" i="1"/>
  <c r="BB44" i="1"/>
  <c r="BA44" i="1" s="1"/>
  <c r="BC43" i="1"/>
  <c r="BB43" i="1"/>
  <c r="BA43" i="1" s="1"/>
  <c r="BC42" i="1"/>
  <c r="BB42" i="1"/>
  <c r="BA42" i="1" s="1"/>
  <c r="BC41" i="1"/>
  <c r="BB41" i="1"/>
  <c r="BA41" i="1" s="1"/>
  <c r="BC40" i="1"/>
  <c r="BB40" i="1"/>
  <c r="BA40" i="1" s="1"/>
  <c r="BC39" i="1"/>
  <c r="BB39" i="1"/>
  <c r="BA39" i="1" s="1"/>
  <c r="BC38" i="1"/>
  <c r="BB38" i="1"/>
  <c r="BA38" i="1" s="1"/>
  <c r="BC37" i="1"/>
  <c r="BB37" i="1"/>
  <c r="BA37" i="1" s="1"/>
  <c r="BC36" i="1"/>
  <c r="BB36" i="1"/>
  <c r="BA36" i="1" s="1"/>
  <c r="BC35" i="1"/>
  <c r="BB35" i="1"/>
  <c r="BA35" i="1" s="1"/>
  <c r="BC34" i="1"/>
  <c r="BB34" i="1"/>
  <c r="BA34" i="1" s="1"/>
  <c r="BC33" i="1"/>
  <c r="BB33" i="1"/>
  <c r="BA33" i="1" s="1"/>
  <c r="BC32" i="1"/>
  <c r="BB32" i="1"/>
  <c r="BA32" i="1" s="1"/>
  <c r="BC31" i="1"/>
  <c r="BB31" i="1"/>
  <c r="BA31" i="1" s="1"/>
  <c r="BC30" i="1"/>
  <c r="BB30" i="1"/>
  <c r="BA30" i="1" s="1"/>
  <c r="BC29" i="1"/>
  <c r="BB29" i="1"/>
  <c r="BA29" i="1" s="1"/>
  <c r="BC28" i="1"/>
  <c r="BB28" i="1"/>
  <c r="BA28" i="1" s="1"/>
  <c r="BC27" i="1"/>
  <c r="BB27" i="1"/>
  <c r="BA27" i="1" s="1"/>
  <c r="BC26" i="1"/>
  <c r="BB26" i="1"/>
  <c r="BA26" i="1" s="1"/>
  <c r="BC25" i="1"/>
  <c r="BB25" i="1"/>
  <c r="BA25" i="1" s="1"/>
  <c r="BC24" i="1"/>
  <c r="BB24" i="1"/>
  <c r="BA24" i="1" s="1"/>
  <c r="BC23" i="1"/>
  <c r="BB23" i="1"/>
  <c r="BA23" i="1" s="1"/>
  <c r="BC22" i="1"/>
  <c r="BB22" i="1"/>
  <c r="BA22" i="1" s="1"/>
  <c r="BC21" i="1"/>
  <c r="BB21" i="1"/>
  <c r="BA21" i="1" s="1"/>
  <c r="BC20" i="1"/>
  <c r="BB20" i="1"/>
  <c r="BA20" i="1" s="1"/>
  <c r="BC19" i="1"/>
  <c r="BB19" i="1"/>
  <c r="BA19" i="1" s="1"/>
  <c r="BC18" i="1"/>
  <c r="BB18" i="1"/>
  <c r="BA18" i="1" s="1"/>
  <c r="BC17" i="1"/>
  <c r="BB17" i="1"/>
  <c r="BA17" i="1" s="1"/>
  <c r="BC16" i="1"/>
  <c r="BB16" i="1"/>
  <c r="BA16" i="1" s="1"/>
  <c r="BC15" i="1"/>
  <c r="BB15" i="1"/>
  <c r="BA15" i="1" s="1"/>
  <c r="BC14" i="1"/>
  <c r="BB14" i="1"/>
  <c r="BA14" i="1" s="1"/>
  <c r="BC13" i="1"/>
  <c r="BB13" i="1"/>
  <c r="BA13" i="1" s="1"/>
  <c r="BC12" i="1"/>
  <c r="BB12" i="1"/>
  <c r="BA12" i="1" s="1"/>
  <c r="BC11" i="1"/>
  <c r="BB11" i="1"/>
  <c r="BA11" i="1" s="1"/>
  <c r="BC10" i="1"/>
  <c r="BB10" i="1"/>
  <c r="BA10" i="1" s="1"/>
  <c r="BC9" i="1"/>
  <c r="BB9" i="1"/>
  <c r="BA9" i="1" s="1"/>
  <c r="BC8" i="1"/>
  <c r="BB8" i="1"/>
  <c r="BA8" i="1" s="1"/>
  <c r="BC7" i="1"/>
  <c r="BB7" i="1"/>
  <c r="BA7" i="1" s="1"/>
  <c r="BC6" i="1"/>
  <c r="BB6" i="1"/>
  <c r="BA6" i="1" s="1"/>
  <c r="BC5" i="1"/>
  <c r="BB5" i="1"/>
  <c r="BA5" i="1" s="1"/>
  <c r="BC4" i="1"/>
  <c r="BB4" i="1"/>
  <c r="BA4" i="1" s="1"/>
  <c r="BC3" i="1"/>
  <c r="BB3" i="1"/>
  <c r="BA3" i="1" s="1"/>
  <c r="BC2" i="1"/>
  <c r="BB2" i="1"/>
  <c r="BA2" i="1" s="1"/>
  <c r="BA564" i="1" l="1"/>
</calcChain>
</file>

<file path=xl/sharedStrings.xml><?xml version="1.0" encoding="utf-8"?>
<sst xmlns="http://schemas.openxmlformats.org/spreadsheetml/2006/main" count="6594" uniqueCount="795">
  <si>
    <t>Case_ID</t>
  </si>
  <si>
    <t>Configuration</t>
  </si>
  <si>
    <t>Configuration_family</t>
  </si>
  <si>
    <t>Reference_specimen</t>
  </si>
  <si>
    <t>FE_model_file</t>
  </si>
  <si>
    <t>LHS_sample</t>
  </si>
  <si>
    <t>fc_MPa</t>
  </si>
  <si>
    <t>ALR</t>
  </si>
  <si>
    <t>rho_bl</t>
  </si>
  <si>
    <t>rho_sh</t>
  </si>
  <si>
    <t>rho_l</t>
  </si>
  <si>
    <t>rho_t</t>
  </si>
  <si>
    <t>dbar_mm</t>
  </si>
  <si>
    <t>webspacing_mm</t>
  </si>
  <si>
    <t>dbar1_mm</t>
  </si>
  <si>
    <t>no_bars_bl</t>
  </si>
  <si>
    <t>rho_l_computed</t>
  </si>
  <si>
    <t>P_N</t>
  </si>
  <si>
    <t>epc0M</t>
  </si>
  <si>
    <t>My_kNm</t>
  </si>
  <si>
    <t>V_CE_kN</t>
  </si>
  <si>
    <t>V_MCyE_kN</t>
  </si>
  <si>
    <t>V_CE_over_V_MCyE</t>
  </si>
  <si>
    <t>FEMA_classification</t>
  </si>
  <si>
    <t>dbar2_mm</t>
  </si>
  <si>
    <t>Vmax_pos_kN</t>
  </si>
  <si>
    <t>Delta_max_pos_mm</t>
  </si>
  <si>
    <t>Delta_at_Vmax_pos_mm</t>
  </si>
  <si>
    <t>Delta_y_pos_mm</t>
  </si>
  <si>
    <t>Delta_20loss_pos_mm</t>
  </si>
  <si>
    <t>Delta_u_pos_mm</t>
  </si>
  <si>
    <t>Ultimate_source_pos</t>
  </si>
  <si>
    <t>Reached_20loss_pos</t>
  </si>
  <si>
    <t>mu_pos</t>
  </si>
  <si>
    <t>Vmax_neg_kN</t>
  </si>
  <si>
    <t>Delta_max_neg_mm</t>
  </si>
  <si>
    <t>Delta_at_Vmax_neg_mm</t>
  </si>
  <si>
    <t>Delta_y_neg_mm</t>
  </si>
  <si>
    <t>Delta_20loss_neg_mm</t>
  </si>
  <si>
    <t>Delta_u_neg_mm</t>
  </si>
  <si>
    <t>Ultimate_source_neg</t>
  </si>
  <si>
    <t>Reached_20loss_neg</t>
  </si>
  <si>
    <t>mu_neg</t>
  </si>
  <si>
    <t>Vmax_abs_kN</t>
  </si>
  <si>
    <t>Delta_u_abs_mm</t>
  </si>
  <si>
    <t>mu_abs</t>
  </si>
  <si>
    <t>Delta_u_lower_bound_mm</t>
  </si>
  <si>
    <t>Delta_u_upper_bound_mm</t>
  </si>
  <si>
    <t>mu_lower_bound</t>
  </si>
  <si>
    <t>mu_upper_bound</t>
  </si>
  <si>
    <t>ML range status (see the red box in the Metadata sheet for the ranges)</t>
  </si>
  <si>
    <t>ML Out_of_range inputs</t>
  </si>
  <si>
    <t>Base model_LHS01</t>
  </si>
  <si>
    <t>Base model</t>
  </si>
  <si>
    <t>Reference</t>
  </si>
  <si>
    <t>WSH6</t>
  </si>
  <si>
    <t>run_FEmodel_webconf.py</t>
  </si>
  <si>
    <t>Flexure-dominated</t>
  </si>
  <si>
    <t>20pct_loss</t>
  </si>
  <si>
    <t>Within calibration ranges</t>
  </si>
  <si>
    <t>None</t>
  </si>
  <si>
    <t>Base model_LHS02</t>
  </si>
  <si>
    <t>delta_max_fallback</t>
  </si>
  <si>
    <t>Base model_LHS03</t>
  </si>
  <si>
    <t>Outside calibration ranges</t>
  </si>
  <si>
    <t>Base model_LHS04</t>
  </si>
  <si>
    <t>Base model_LHS05</t>
  </si>
  <si>
    <t>Base model_LHS06</t>
  </si>
  <si>
    <t>Base model_LHS07</t>
  </si>
  <si>
    <t>Base model_LHS08</t>
  </si>
  <si>
    <t>Base model_LHS09</t>
  </si>
  <si>
    <t>Base model_LHS10</t>
  </si>
  <si>
    <t>Base model_LHS11</t>
  </si>
  <si>
    <t>Base model_LHS12</t>
  </si>
  <si>
    <t>Base model_LHS13</t>
  </si>
  <si>
    <t>Base model_LHS14</t>
  </si>
  <si>
    <t>Base model_LHS15</t>
  </si>
  <si>
    <t>Base model_LHS16</t>
  </si>
  <si>
    <t>Base model_LHS17</t>
  </si>
  <si>
    <t>Base model_LHS18</t>
  </si>
  <si>
    <t>Base model_LHS19</t>
  </si>
  <si>
    <t>Base model_LHS20</t>
  </si>
  <si>
    <t>W-L_LHS01</t>
  </si>
  <si>
    <t>W-L</t>
  </si>
  <si>
    <t>Web</t>
  </si>
  <si>
    <t>W-L_LHS02</t>
  </si>
  <si>
    <t>W-L_LHS03</t>
  </si>
  <si>
    <t>Shear-susceptible</t>
  </si>
  <si>
    <t>NA</t>
  </si>
  <si>
    <t>W-L_LHS04</t>
  </si>
  <si>
    <t>W-L_LHS05</t>
  </si>
  <si>
    <t>W-L_LHS06</t>
  </si>
  <si>
    <t>W-L_LHS07</t>
  </si>
  <si>
    <t>W-L_LHS08</t>
  </si>
  <si>
    <t>W-L_LHS09</t>
  </si>
  <si>
    <t>W-L_LHS10</t>
  </si>
  <si>
    <t>W-L_LHS11</t>
  </si>
  <si>
    <t>W-L_LHS12</t>
  </si>
  <si>
    <t>W-L_LHS13</t>
  </si>
  <si>
    <t>W-L_LHS14</t>
  </si>
  <si>
    <t>W-L_LHS15</t>
  </si>
  <si>
    <t>W-L_LHS16</t>
  </si>
  <si>
    <t>W-L_LHS17</t>
  </si>
  <si>
    <t>W-L_LHS18</t>
  </si>
  <si>
    <t>W-L_LHS19</t>
  </si>
  <si>
    <t>W-L_LHS20</t>
  </si>
  <si>
    <t>W-VL_LHS01</t>
  </si>
  <si>
    <t>W-VL</t>
  </si>
  <si>
    <t>W-VL_LHS02</t>
  </si>
  <si>
    <t>W-VL_LHS03</t>
  </si>
  <si>
    <t>W-VL_LHS04</t>
  </si>
  <si>
    <t>W-VL_LHS05</t>
  </si>
  <si>
    <t>W-VL_LHS06</t>
  </si>
  <si>
    <t>W-VL_LHS07</t>
  </si>
  <si>
    <t>W-VL_LHS08</t>
  </si>
  <si>
    <t>W-VL_LHS09</t>
  </si>
  <si>
    <t>W-VL_LHS10</t>
  </si>
  <si>
    <t>W-VL_LHS11</t>
  </si>
  <si>
    <t>W-VL_LHS12</t>
  </si>
  <si>
    <t>W-VL_LHS13</t>
  </si>
  <si>
    <t>W-VL_LHS14</t>
  </si>
  <si>
    <t>W-VL_LHS15</t>
  </si>
  <si>
    <t>W-VL_LHS16</t>
  </si>
  <si>
    <t>W-VL_LHS17</t>
  </si>
  <si>
    <t>W-VL_LHS18</t>
  </si>
  <si>
    <t>W-VL_LHS19</t>
  </si>
  <si>
    <t>W-VL_LHS20</t>
  </si>
  <si>
    <t>W-M_LHS01</t>
  </si>
  <si>
    <t>W-M</t>
  </si>
  <si>
    <t>W-M_LHS02</t>
  </si>
  <si>
    <t>W-M_LHS03</t>
  </si>
  <si>
    <t>W-M_LHS04</t>
  </si>
  <si>
    <t>W-M_LHS05</t>
  </si>
  <si>
    <t>W-M_LHS06</t>
  </si>
  <si>
    <t>W-M_LHS07</t>
  </si>
  <si>
    <t>W-M_LHS08</t>
  </si>
  <si>
    <t>W-M_LHS09</t>
  </si>
  <si>
    <t>W-M_LHS10</t>
  </si>
  <si>
    <t>W-M_LHS11</t>
  </si>
  <si>
    <t>W-M_LHS12</t>
  </si>
  <si>
    <t>W-M_LHS13</t>
  </si>
  <si>
    <t>W-M_LHS14</t>
  </si>
  <si>
    <t>W-M_LHS15</t>
  </si>
  <si>
    <t>W-M_LHS16</t>
  </si>
  <si>
    <t>W-M_LHS17</t>
  </si>
  <si>
    <t>W-M_LHS18</t>
  </si>
  <si>
    <t>W-M_LHS19</t>
  </si>
  <si>
    <t>W-M_LHS20</t>
  </si>
  <si>
    <t>W-H_LHS01</t>
  </si>
  <si>
    <t>W-H</t>
  </si>
  <si>
    <t>W-H_LHS02</t>
  </si>
  <si>
    <t>W-H_LHS03</t>
  </si>
  <si>
    <t>W-H_LHS04</t>
  </si>
  <si>
    <t>W-H_LHS05</t>
  </si>
  <si>
    <t>W-H_LHS06</t>
  </si>
  <si>
    <t>W-H_LHS07</t>
  </si>
  <si>
    <t>W-H_LHS08</t>
  </si>
  <si>
    <t>W-H_LHS09</t>
  </si>
  <si>
    <t>W-H_LHS10</t>
  </si>
  <si>
    <t>W-H_LHS11</t>
  </si>
  <si>
    <t>W-H_LHS12</t>
  </si>
  <si>
    <t>W-H_LHS13</t>
  </si>
  <si>
    <t>W-H_LHS14</t>
  </si>
  <si>
    <t>W-H_LHS15</t>
  </si>
  <si>
    <t>W-H_LHS16</t>
  </si>
  <si>
    <t>W-H_LHS17</t>
  </si>
  <si>
    <t>W-H_LHS18</t>
  </si>
  <si>
    <t>W-H_LHS19</t>
  </si>
  <si>
    <t>W-H_LHS20</t>
  </si>
  <si>
    <t>W-VH_LHS01</t>
  </si>
  <si>
    <t>W-VH</t>
  </si>
  <si>
    <t>W-VH_LHS02</t>
  </si>
  <si>
    <t>W-VH_LHS03</t>
  </si>
  <si>
    <t>W-VH_LHS04</t>
  </si>
  <si>
    <t>W-VH_LHS05</t>
  </si>
  <si>
    <t>W-VH_LHS06</t>
  </si>
  <si>
    <t>W-VH_LHS07</t>
  </si>
  <si>
    <t>W-VH_LHS08</t>
  </si>
  <si>
    <t>W-VH_LHS09</t>
  </si>
  <si>
    <t>W-VH_LHS10</t>
  </si>
  <si>
    <t>W-VH_LHS11</t>
  </si>
  <si>
    <t>W-VH_LHS12</t>
  </si>
  <si>
    <t>W-VH_LHS13</t>
  </si>
  <si>
    <t>W-VH_LHS14</t>
  </si>
  <si>
    <t>W-VH_LHS15</t>
  </si>
  <si>
    <t>W-VH_LHS16</t>
  </si>
  <si>
    <t>W-VH_LHS17</t>
  </si>
  <si>
    <t>W-VH_LHS18</t>
  </si>
  <si>
    <t>W-VH_LHS19</t>
  </si>
  <si>
    <t>W-VH_LHS20</t>
  </si>
  <si>
    <t>W-HL-1_LHS01</t>
  </si>
  <si>
    <t>W-HL-1</t>
  </si>
  <si>
    <t>W-HL-1_LHS02</t>
  </si>
  <si>
    <t>W-HL-1_LHS03</t>
  </si>
  <si>
    <t>ALR; rho_t</t>
  </si>
  <si>
    <t>W-HL-1_LHS04</t>
  </si>
  <si>
    <t>W-HL-1_LHS05</t>
  </si>
  <si>
    <t>W-HL-1_LHS06</t>
  </si>
  <si>
    <t>W-HL-1_LHS07</t>
  </si>
  <si>
    <t>W-HL-1_LHS08</t>
  </si>
  <si>
    <t>W-HL-1_LHS09</t>
  </si>
  <si>
    <t>W-HL-1_LHS10</t>
  </si>
  <si>
    <t>W-HL-1_LHS11</t>
  </si>
  <si>
    <t>W-HL-1_LHS12</t>
  </si>
  <si>
    <t>W-HL-1_LHS13</t>
  </si>
  <si>
    <t>W-HL-1_LHS14</t>
  </si>
  <si>
    <t>W-HL-1_LHS15</t>
  </si>
  <si>
    <t>W-HL-1_LHS16</t>
  </si>
  <si>
    <t>W-HL-1_LHS17</t>
  </si>
  <si>
    <t>W-HL-1_LHS18</t>
  </si>
  <si>
    <t>W-HL-1_LHS19</t>
  </si>
  <si>
    <t>W-HL-1_LHS20</t>
  </si>
  <si>
    <t>W-HL-2_LHS01</t>
  </si>
  <si>
    <t>W-HL-2</t>
  </si>
  <si>
    <t>W-HL-2_LHS02</t>
  </si>
  <si>
    <t>W-HL-2_LHS03</t>
  </si>
  <si>
    <t>W-HL-2_LHS04</t>
  </si>
  <si>
    <t>W-HL-2_LHS05</t>
  </si>
  <si>
    <t>W-HL-2_LHS06</t>
  </si>
  <si>
    <t>W-HL-2_LHS07</t>
  </si>
  <si>
    <t>W-HL-2_LHS08</t>
  </si>
  <si>
    <t>W-HL-2_LHS09</t>
  </si>
  <si>
    <t>W-HL-2_LHS10</t>
  </si>
  <si>
    <t>W-HL-2_LHS11</t>
  </si>
  <si>
    <t>W-HL-2_LHS12</t>
  </si>
  <si>
    <t>W-HL-2_LHS13</t>
  </si>
  <si>
    <t>W-HL-2_LHS14</t>
  </si>
  <si>
    <t>W-HL-2_LHS15</t>
  </si>
  <si>
    <t>W-HL-2_LHS16</t>
  </si>
  <si>
    <t>W-HL-2_LHS17</t>
  </si>
  <si>
    <t>W-HL-2_LHS18</t>
  </si>
  <si>
    <t>W-HL-2_LHS19</t>
  </si>
  <si>
    <t>W-HL-2_LHS20</t>
  </si>
  <si>
    <t>W-HL-3_LHS01</t>
  </si>
  <si>
    <t>W-HL-3</t>
  </si>
  <si>
    <t>W-HL-3_LHS02</t>
  </si>
  <si>
    <t>W-HL-3_LHS03</t>
  </si>
  <si>
    <t>W-HL-3_LHS04</t>
  </si>
  <si>
    <t>W-HL-3_LHS05</t>
  </si>
  <si>
    <t>W-HL-3_LHS06</t>
  </si>
  <si>
    <t>W-HL-3_LHS07</t>
  </si>
  <si>
    <t>W-HL-3_LHS08</t>
  </si>
  <si>
    <t>W-HL-3_LHS09</t>
  </si>
  <si>
    <t>W-HL-3_LHS10</t>
  </si>
  <si>
    <t>W-HL-3_LHS11</t>
  </si>
  <si>
    <t>W-HL-3_LHS12</t>
  </si>
  <si>
    <t>W-HL-3_LHS13</t>
  </si>
  <si>
    <t>W-HL-3_LHS14</t>
  </si>
  <si>
    <t>W-HL-3_LHS15</t>
  </si>
  <si>
    <t>W-HL-3_LHS16</t>
  </si>
  <si>
    <t>W-HL-3_LHS17</t>
  </si>
  <si>
    <t>W-HL-3_LHS18</t>
  </si>
  <si>
    <t>W-HL-3_LHS19</t>
  </si>
  <si>
    <t>W-HL-3_LHS20</t>
  </si>
  <si>
    <t>W-LH-1_LHS01</t>
  </si>
  <si>
    <t>W-LH-1</t>
  </si>
  <si>
    <t>W-LH-1_LHS02</t>
  </si>
  <si>
    <t>W-LH-1_LHS03</t>
  </si>
  <si>
    <t>W-LH-1_LHS04</t>
  </si>
  <si>
    <t>W-LH-1_LHS05</t>
  </si>
  <si>
    <t>W-LH-1_LHS06</t>
  </si>
  <si>
    <t>W-LH-1_LHS07</t>
  </si>
  <si>
    <t>W-LH-1_LHS08</t>
  </si>
  <si>
    <t>W-LH-1_LHS09</t>
  </si>
  <si>
    <t>W-LH-1_LHS10</t>
  </si>
  <si>
    <t>W-LH-1_LHS11</t>
  </si>
  <si>
    <t>W-LH-1_LHS12</t>
  </si>
  <si>
    <t>W-LH-1_LHS13</t>
  </si>
  <si>
    <t>W-LH-1_LHS14</t>
  </si>
  <si>
    <t>W-LH-1_LHS15</t>
  </si>
  <si>
    <t>W-LH-1_LHS16</t>
  </si>
  <si>
    <t>W-LH-1_LHS17</t>
  </si>
  <si>
    <t>W-LH-1_LHS18</t>
  </si>
  <si>
    <t>W-LH-1_LHS19</t>
  </si>
  <si>
    <t>W-LH-1_LHS20</t>
  </si>
  <si>
    <t>W-LH-2_LHS01</t>
  </si>
  <si>
    <t>W-LH-2</t>
  </si>
  <si>
    <t>W-LH-2_LHS02</t>
  </si>
  <si>
    <t>W-LH-2_LHS03</t>
  </si>
  <si>
    <t>W-LH-2_LHS04</t>
  </si>
  <si>
    <t>W-LH-2_LHS05</t>
  </si>
  <si>
    <t>W-LH-2_LHS06</t>
  </si>
  <si>
    <t>W-LH-2_LHS07</t>
  </si>
  <si>
    <t>W-LH-2_LHS08</t>
  </si>
  <si>
    <t>W-LH-2_LHS09</t>
  </si>
  <si>
    <t>W-LH-2_LHS10</t>
  </si>
  <si>
    <t>W-LH-2_LHS11</t>
  </si>
  <si>
    <t>W-LH-2_LHS12</t>
  </si>
  <si>
    <t>W-LH-2_LHS13</t>
  </si>
  <si>
    <t>W-LH-2_LHS14</t>
  </si>
  <si>
    <t>W-LH-2_LHS15</t>
  </si>
  <si>
    <t>W-LH-2_LHS16</t>
  </si>
  <si>
    <t>W-LH-2_LHS17</t>
  </si>
  <si>
    <t>W-LH-2_LHS18</t>
  </si>
  <si>
    <t>W-LH-2_LHS19</t>
  </si>
  <si>
    <t>W-LH-2_LHS20</t>
  </si>
  <si>
    <t>W-LH-3_LHS01</t>
  </si>
  <si>
    <t>W-LH-3</t>
  </si>
  <si>
    <t>W-LH-3_LHS02</t>
  </si>
  <si>
    <t>W-LH-3_LHS03</t>
  </si>
  <si>
    <t>W-LH-3_LHS04</t>
  </si>
  <si>
    <t>W-LH-3_LHS05</t>
  </si>
  <si>
    <t>W-LH-3_LHS06</t>
  </si>
  <si>
    <t>W-LH-3_LHS07</t>
  </si>
  <si>
    <t>W-LH-3_LHS08</t>
  </si>
  <si>
    <t>W-LH-3_LHS09</t>
  </si>
  <si>
    <t>W-LH-3_LHS10</t>
  </si>
  <si>
    <t>W-LH-3_LHS11</t>
  </si>
  <si>
    <t>W-LH-3_LHS12</t>
  </si>
  <si>
    <t>W-LH-3_LHS13</t>
  </si>
  <si>
    <t>W-LH-3_LHS14</t>
  </si>
  <si>
    <t>W-LH-3_LHS15</t>
  </si>
  <si>
    <t>W-LH-3_LHS16</t>
  </si>
  <si>
    <t>W-LH-3_LHS17</t>
  </si>
  <si>
    <t>W-LH-3_LHS18</t>
  </si>
  <si>
    <t>W-LH-3_LHS19</t>
  </si>
  <si>
    <t>W-LH-3_LHS20</t>
  </si>
  <si>
    <t>W-D-1_LHS01</t>
  </si>
  <si>
    <t>W-D-1</t>
  </si>
  <si>
    <t>W-D-1_LHS02</t>
  </si>
  <si>
    <t>W-D-1_LHS03</t>
  </si>
  <si>
    <t>W-D-1_LHS04</t>
  </si>
  <si>
    <t>W-D-1_LHS05</t>
  </si>
  <si>
    <t>W-D-1_LHS06</t>
  </si>
  <si>
    <t>W-D-1_LHS07</t>
  </si>
  <si>
    <t>W-D-1_LHS08</t>
  </si>
  <si>
    <t>W-D-1_LHS09</t>
  </si>
  <si>
    <t>W-D-1_LHS10</t>
  </si>
  <si>
    <t>W-D-1_LHS11</t>
  </si>
  <si>
    <t>W-D-1_LHS12</t>
  </si>
  <si>
    <t>W-D-1_LHS13</t>
  </si>
  <si>
    <t>W-D-1_LHS14</t>
  </si>
  <si>
    <t>W-D-1_LHS15</t>
  </si>
  <si>
    <t>W-D-1_LHS16</t>
  </si>
  <si>
    <t>W-D-1_LHS17</t>
  </si>
  <si>
    <t>W-D-1_LHS18</t>
  </si>
  <si>
    <t>W-D-1_LHS19</t>
  </si>
  <si>
    <t>W-D-1_LHS20</t>
  </si>
  <si>
    <t>W-D-2_LHS01</t>
  </si>
  <si>
    <t>W-D-2</t>
  </si>
  <si>
    <t>W-D-2_LHS02</t>
  </si>
  <si>
    <t>W-D-2_LHS03</t>
  </si>
  <si>
    <t>W-D-2_LHS04</t>
  </si>
  <si>
    <t>W-D-2_LHS05</t>
  </si>
  <si>
    <t>W-D-2_LHS06</t>
  </si>
  <si>
    <t>W-D-2_LHS07</t>
  </si>
  <si>
    <t>W-D-2_LHS08</t>
  </si>
  <si>
    <t>W-D-2_LHS09</t>
  </si>
  <si>
    <t>W-D-2_LHS10</t>
  </si>
  <si>
    <t>W-D-2_LHS11</t>
  </si>
  <si>
    <t>W-D-2_LHS12</t>
  </si>
  <si>
    <t>W-D-2_LHS13</t>
  </si>
  <si>
    <t>W-D-2_LHS14</t>
  </si>
  <si>
    <t>W-D-2_LHS15</t>
  </si>
  <si>
    <t>W-D-2_LHS16</t>
  </si>
  <si>
    <t>W-D-2_LHS17</t>
  </si>
  <si>
    <t>W-D-2_LHS18</t>
  </si>
  <si>
    <t>W-D-2_LHS19</t>
  </si>
  <si>
    <t>W-D-2_LHS20</t>
  </si>
  <si>
    <t>W-D-3_LHS01</t>
  </si>
  <si>
    <t>W-D-3</t>
  </si>
  <si>
    <t>W-D-3_LHS02</t>
  </si>
  <si>
    <t>W-D-3_LHS03</t>
  </si>
  <si>
    <t>W-D-3_LHS04</t>
  </si>
  <si>
    <t>W-D-3_LHS05</t>
  </si>
  <si>
    <t>W-D-3_LHS06</t>
  </si>
  <si>
    <t>W-D-3_LHS07</t>
  </si>
  <si>
    <t>W-D-3_LHS08</t>
  </si>
  <si>
    <t>W-D-3_LHS09</t>
  </si>
  <si>
    <t>W-D-3_LHS10</t>
  </si>
  <si>
    <t>W-D-3_LHS11</t>
  </si>
  <si>
    <t>W-D-3_LHS12</t>
  </si>
  <si>
    <t>W-D-3_LHS13</t>
  </si>
  <si>
    <t>W-D-3_LHS14</t>
  </si>
  <si>
    <t>W-D-3_LHS15</t>
  </si>
  <si>
    <t>W-D-3_LHS16</t>
  </si>
  <si>
    <t>W-D-3_LHS17</t>
  </si>
  <si>
    <t>W-D-3_LHS18</t>
  </si>
  <si>
    <t>W-D-3_LHS19</t>
  </si>
  <si>
    <t>W-D-3_LHS20</t>
  </si>
  <si>
    <t>W-Z-1_LHS01</t>
  </si>
  <si>
    <t>W-Z-1</t>
  </si>
  <si>
    <t>W-Z-1_LHS02</t>
  </si>
  <si>
    <t>W-Z-1_LHS03</t>
  </si>
  <si>
    <t>W-Z-1_LHS04</t>
  </si>
  <si>
    <t>W-Z-1_LHS05</t>
  </si>
  <si>
    <t>W-Z-1_LHS06</t>
  </si>
  <si>
    <t>W-Z-1_LHS07</t>
  </si>
  <si>
    <t>W-Z-1_LHS08</t>
  </si>
  <si>
    <t>W-Z-1_LHS09</t>
  </si>
  <si>
    <t>W-Z-1_LHS10</t>
  </si>
  <si>
    <t>W-Z-1_LHS11</t>
  </si>
  <si>
    <t>W-Z-1_LHS12</t>
  </si>
  <si>
    <t>W-Z-1_LHS13</t>
  </si>
  <si>
    <t>W-Z-1_LHS14</t>
  </si>
  <si>
    <t>W-Z-1_LHS15</t>
  </si>
  <si>
    <t>W-Z-1_LHS16</t>
  </si>
  <si>
    <t>W-Z-1_LHS17</t>
  </si>
  <si>
    <t>W-Z-1_LHS18</t>
  </si>
  <si>
    <t>W-Z-1_LHS19</t>
  </si>
  <si>
    <t>W-Z-1_LHS20</t>
  </si>
  <si>
    <t>W-Z-2_LHS01</t>
  </si>
  <si>
    <t>W-Z-2</t>
  </si>
  <si>
    <t>W-Z-2_LHS02</t>
  </si>
  <si>
    <t>W-Z-2_LHS03</t>
  </si>
  <si>
    <t>W-Z-2_LHS04</t>
  </si>
  <si>
    <t>W-Z-2_LHS05</t>
  </si>
  <si>
    <t>W-Z-2_LHS06</t>
  </si>
  <si>
    <t>W-Z-2_LHS07</t>
  </si>
  <si>
    <t>W-Z-2_LHS08</t>
  </si>
  <si>
    <t>W-Z-2_LHS09</t>
  </si>
  <si>
    <t>W-Z-2_LHS10</t>
  </si>
  <si>
    <t>W-Z-2_LHS11</t>
  </si>
  <si>
    <t>W-Z-2_LHS12</t>
  </si>
  <si>
    <t>W-Z-2_LHS13</t>
  </si>
  <si>
    <t>W-Z-2_LHS14</t>
  </si>
  <si>
    <t>W-Z-2_LHS15</t>
  </si>
  <si>
    <t>W-Z-2_LHS16</t>
  </si>
  <si>
    <t>W-Z-2_LHS17</t>
  </si>
  <si>
    <t>W-Z-2_LHS18</t>
  </si>
  <si>
    <t>W-Z-2_LHS19</t>
  </si>
  <si>
    <t>W-Z-2_LHS20</t>
  </si>
  <si>
    <t>W-Z-3_LHS01</t>
  </si>
  <si>
    <t>W-Z-3</t>
  </si>
  <si>
    <t>W-Z-3_LHS02</t>
  </si>
  <si>
    <t>W-Z-3_LHS03</t>
  </si>
  <si>
    <t>W-Z-3_LHS04</t>
  </si>
  <si>
    <t>W-Z-3_LHS05</t>
  </si>
  <si>
    <t>W-Z-3_LHS06</t>
  </si>
  <si>
    <t>W-Z-3_LHS07</t>
  </si>
  <si>
    <t>W-Z-3_LHS08</t>
  </si>
  <si>
    <t>W-Z-3_LHS09</t>
  </si>
  <si>
    <t>W-Z-3_LHS10</t>
  </si>
  <si>
    <t>W-Z-3_LHS11</t>
  </si>
  <si>
    <t>W-Z-3_LHS12</t>
  </si>
  <si>
    <t>W-Z-3_LHS13</t>
  </si>
  <si>
    <t>W-Z-3_LHS14</t>
  </si>
  <si>
    <t>W-Z-3_LHS15</t>
  </si>
  <si>
    <t>W-Z-3_LHS16</t>
  </si>
  <si>
    <t>W-Z-3_LHS17</t>
  </si>
  <si>
    <t>W-Z-3_LHS18</t>
  </si>
  <si>
    <t>W-Z-3_LHS19</t>
  </si>
  <si>
    <t>W-Z-3_LHS20</t>
  </si>
  <si>
    <t>W-Z-4_LHS01</t>
  </si>
  <si>
    <t>W-Z-4</t>
  </si>
  <si>
    <t>W-Z-4_LHS02</t>
  </si>
  <si>
    <t>W-Z-4_LHS03</t>
  </si>
  <si>
    <t>W-Z-4_LHS04</t>
  </si>
  <si>
    <t>W-Z-4_LHS05</t>
  </si>
  <si>
    <t>W-Z-4_LHS06</t>
  </si>
  <si>
    <t>W-Z-4_LHS07</t>
  </si>
  <si>
    <t>W-Z-4_LHS08</t>
  </si>
  <si>
    <t>W-Z-4_LHS09</t>
  </si>
  <si>
    <t>W-Z-4_LHS10</t>
  </si>
  <si>
    <t>W-Z-4_LHS11</t>
  </si>
  <si>
    <t>W-Z-4_LHS12</t>
  </si>
  <si>
    <t>W-Z-4_LHS13</t>
  </si>
  <si>
    <t>W-Z-4_LHS14</t>
  </si>
  <si>
    <t>W-Z-4_LHS15</t>
  </si>
  <si>
    <t>W-Z-4_LHS16</t>
  </si>
  <si>
    <t>W-Z-4_LHS17</t>
  </si>
  <si>
    <t>W-Z-4_LHS18</t>
  </si>
  <si>
    <t>W-Z-4_LHS19</t>
  </si>
  <si>
    <t>W-Z-4_LHS20</t>
  </si>
  <si>
    <t>B-L_LHS01</t>
  </si>
  <si>
    <t>B-L</t>
  </si>
  <si>
    <t>Boundary</t>
  </si>
  <si>
    <t>run_FEmodel_boundconf.py</t>
  </si>
  <si>
    <t>B-L_LHS02</t>
  </si>
  <si>
    <t>B-L_LHS03</t>
  </si>
  <si>
    <t>B-L_LHS04</t>
  </si>
  <si>
    <t>B-L_LHS05</t>
  </si>
  <si>
    <t>B-L_LHS06</t>
  </si>
  <si>
    <t>B-L_LHS07</t>
  </si>
  <si>
    <t>B-L_LHS08</t>
  </si>
  <si>
    <t>B-L_LHS09</t>
  </si>
  <si>
    <t>B-L_LHS10</t>
  </si>
  <si>
    <t>B-L_LHS11</t>
  </si>
  <si>
    <t>B-L_LHS12</t>
  </si>
  <si>
    <t>B-L_LHS13</t>
  </si>
  <si>
    <t>B-L_LHS14</t>
  </si>
  <si>
    <t>B-L_LHS15</t>
  </si>
  <si>
    <t>B-L_LHS16</t>
  </si>
  <si>
    <t>B-L_LHS17</t>
  </si>
  <si>
    <t>B-L_LHS18</t>
  </si>
  <si>
    <t>B-L_LHS19</t>
  </si>
  <si>
    <t>B-L_LHS20</t>
  </si>
  <si>
    <t>B-M_LHS01</t>
  </si>
  <si>
    <t>B-M</t>
  </si>
  <si>
    <t>B-M_LHS02</t>
  </si>
  <si>
    <t>B-M_LHS03</t>
  </si>
  <si>
    <t>B-M_LHS04</t>
  </si>
  <si>
    <t>B-M_LHS05</t>
  </si>
  <si>
    <t>B-M_LHS06</t>
  </si>
  <si>
    <t>B-M_LHS07</t>
  </si>
  <si>
    <t>B-M_LHS08</t>
  </si>
  <si>
    <t>B-M_LHS09</t>
  </si>
  <si>
    <t>B-M_LHS10</t>
  </si>
  <si>
    <t>B-M_LHS11</t>
  </si>
  <si>
    <t>B-M_LHS12</t>
  </si>
  <si>
    <t>B-M_LHS13</t>
  </si>
  <si>
    <t>B-M_LHS14</t>
  </si>
  <si>
    <t>B-M_LHS15</t>
  </si>
  <si>
    <t>B-M_LHS16</t>
  </si>
  <si>
    <t>B-M_LHS17</t>
  </si>
  <si>
    <t>B-M_LHS18</t>
  </si>
  <si>
    <t>B-M_LHS19</t>
  </si>
  <si>
    <t>B-M_LHS20</t>
  </si>
  <si>
    <t>B-IM_LHS01</t>
  </si>
  <si>
    <t>B-IM</t>
  </si>
  <si>
    <t>B-IM_LHS02</t>
  </si>
  <si>
    <t>B-IM_LHS03</t>
  </si>
  <si>
    <t>B-IM_LHS04</t>
  </si>
  <si>
    <t>B-IM_LHS05</t>
  </si>
  <si>
    <t>B-IM_LHS06</t>
  </si>
  <si>
    <t>B-IM_LHS07</t>
  </si>
  <si>
    <t>B-IM_LHS08</t>
  </si>
  <si>
    <t>B-IM_LHS09</t>
  </si>
  <si>
    <t>B-IM_LHS10</t>
  </si>
  <si>
    <t>B-IM_LHS11</t>
  </si>
  <si>
    <t>B-IM_LHS12</t>
  </si>
  <si>
    <t>B-IM_LHS13</t>
  </si>
  <si>
    <t>B-IM_LHS14</t>
  </si>
  <si>
    <t>B-IM_LHS15</t>
  </si>
  <si>
    <t>B-IM_LHS16</t>
  </si>
  <si>
    <t>B-IM_LHS17</t>
  </si>
  <si>
    <t>B-IM_LHS18</t>
  </si>
  <si>
    <t>B-IM_LHS19</t>
  </si>
  <si>
    <t>B-IM_LHS20</t>
  </si>
  <si>
    <t>B-H_LHS01</t>
  </si>
  <si>
    <t>B-H</t>
  </si>
  <si>
    <t>B-H_LHS02</t>
  </si>
  <si>
    <t>B-H_LHS03</t>
  </si>
  <si>
    <t>B-H_LHS04</t>
  </si>
  <si>
    <t>B-H_LHS05</t>
  </si>
  <si>
    <t>B-H_LHS06</t>
  </si>
  <si>
    <t>B-H_LHS07</t>
  </si>
  <si>
    <t>B-H_LHS08</t>
  </si>
  <si>
    <t>B-H_LHS09</t>
  </si>
  <si>
    <t>B-H_LHS10</t>
  </si>
  <si>
    <t>B-H_LHS11</t>
  </si>
  <si>
    <t>B-H_LHS12</t>
  </si>
  <si>
    <t>B-H_LHS13</t>
  </si>
  <si>
    <t>B-H_LHS14</t>
  </si>
  <si>
    <t>B-H_LHS15</t>
  </si>
  <si>
    <t>B-H_LHS16</t>
  </si>
  <si>
    <t>B-H_LHS17</t>
  </si>
  <si>
    <t>B-H_LHS18</t>
  </si>
  <si>
    <t>B-H_LHS19</t>
  </si>
  <si>
    <t>B-H_LHS20</t>
  </si>
  <si>
    <t>B-VH_LHS01</t>
  </si>
  <si>
    <t>B-VH</t>
  </si>
  <si>
    <t>B-VH_LHS02</t>
  </si>
  <si>
    <t>B-VH_LHS03</t>
  </si>
  <si>
    <t>B-VH_LHS04</t>
  </si>
  <si>
    <t>B-VH_LHS05</t>
  </si>
  <si>
    <t>B-VH_LHS06</t>
  </si>
  <si>
    <t>B-VH_LHS07</t>
  </si>
  <si>
    <t>B-VH_LHS08</t>
  </si>
  <si>
    <t>B-VH_LHS09</t>
  </si>
  <si>
    <t>B-VH_LHS10</t>
  </si>
  <si>
    <t>B-VH_LHS11</t>
  </si>
  <si>
    <t>B-VH_LHS12</t>
  </si>
  <si>
    <t>B-VH_LHS13</t>
  </si>
  <si>
    <t>B-VH_LHS14</t>
  </si>
  <si>
    <t>B-VH_LHS15</t>
  </si>
  <si>
    <t>B-VH_LHS16</t>
  </si>
  <si>
    <t>B-VH_LHS17</t>
  </si>
  <si>
    <t>B-VH_LHS18</t>
  </si>
  <si>
    <t>B-VH_LHS19</t>
  </si>
  <si>
    <t>B-VH_LHS20</t>
  </si>
  <si>
    <t>U-1_LHS01</t>
  </si>
  <si>
    <t>U-1</t>
  </si>
  <si>
    <t>U-1_LHS02</t>
  </si>
  <si>
    <t>U-1_LHS03</t>
  </si>
  <si>
    <t>U-1_LHS04</t>
  </si>
  <si>
    <t>U-1_LHS05</t>
  </si>
  <si>
    <t>U-1_LHS06</t>
  </si>
  <si>
    <t>U-1_LHS07</t>
  </si>
  <si>
    <t>U-1_LHS08</t>
  </si>
  <si>
    <t>U-1_LHS09</t>
  </si>
  <si>
    <t>U-1_LHS10</t>
  </si>
  <si>
    <t>U-1_LHS11</t>
  </si>
  <si>
    <t>U-1_LHS12</t>
  </si>
  <si>
    <t>U-1_LHS13</t>
  </si>
  <si>
    <t>U-1_LHS14</t>
  </si>
  <si>
    <t>U-1_LHS15</t>
  </si>
  <si>
    <t>U-1_LHS16</t>
  </si>
  <si>
    <t>U-1_LHS17</t>
  </si>
  <si>
    <t>U-1_LHS18</t>
  </si>
  <si>
    <t>U-1_LHS19</t>
  </si>
  <si>
    <t>U-1_LHS20</t>
  </si>
  <si>
    <t>U-2_LHS01</t>
  </si>
  <si>
    <t>U-2</t>
  </si>
  <si>
    <t>U-2_LHS02</t>
  </si>
  <si>
    <t>U-2_LHS03</t>
  </si>
  <si>
    <t>U-2_LHS04</t>
  </si>
  <si>
    <t>U-2_LHS05</t>
  </si>
  <si>
    <t>U-2_LHS06</t>
  </si>
  <si>
    <t>U-2_LHS07</t>
  </si>
  <si>
    <t>U-2_LHS08</t>
  </si>
  <si>
    <t>U-2_LHS09</t>
  </si>
  <si>
    <t>U-2_LHS10</t>
  </si>
  <si>
    <t>U-2_LHS11</t>
  </si>
  <si>
    <t>U-2_LHS12</t>
  </si>
  <si>
    <t>U-2_LHS13</t>
  </si>
  <si>
    <t>U-2_LHS14</t>
  </si>
  <si>
    <t>U-2_LHS15</t>
  </si>
  <si>
    <t>U-2_LHS16</t>
  </si>
  <si>
    <t>U-2_LHS17</t>
  </si>
  <si>
    <t>U-2_LHS18</t>
  </si>
  <si>
    <t>U-2_LHS19</t>
  </si>
  <si>
    <t>U-2_LHS20</t>
  </si>
  <si>
    <t>U-3_LHS01</t>
  </si>
  <si>
    <t>U-3</t>
  </si>
  <si>
    <t>U-3_LHS02</t>
  </si>
  <si>
    <t>U-3_LHS03</t>
  </si>
  <si>
    <t>U-3_LHS04</t>
  </si>
  <si>
    <t>U-3_LHS05</t>
  </si>
  <si>
    <t>U-3_LHS06</t>
  </si>
  <si>
    <t>U-3_LHS07</t>
  </si>
  <si>
    <t>U-3_LHS08</t>
  </si>
  <si>
    <t>U-3_LHS09</t>
  </si>
  <si>
    <t>U-3_LHS10</t>
  </si>
  <si>
    <t>U-3_LHS11</t>
  </si>
  <si>
    <t>U-3_LHS12</t>
  </si>
  <si>
    <t>U-3_LHS13</t>
  </si>
  <si>
    <t>U-3_LHS14</t>
  </si>
  <si>
    <t>U-3_LHS15</t>
  </si>
  <si>
    <t>U-3_LHS16</t>
  </si>
  <si>
    <t>U-3_LHS17</t>
  </si>
  <si>
    <t>U-3_LHS18</t>
  </si>
  <si>
    <t>U-3_LHS19</t>
  </si>
  <si>
    <t>U-3_LHS20</t>
  </si>
  <si>
    <t>U-4_LHS01</t>
  </si>
  <si>
    <t>U-4</t>
  </si>
  <si>
    <t>U-4_LHS02</t>
  </si>
  <si>
    <t>U-4_LHS03</t>
  </si>
  <si>
    <t>U-4_LHS04</t>
  </si>
  <si>
    <t>U-4_LHS05</t>
  </si>
  <si>
    <t>U-4_LHS06</t>
  </si>
  <si>
    <t>U-4_LHS07</t>
  </si>
  <si>
    <t>U-4_LHS08</t>
  </si>
  <si>
    <t>U-4_LHS09</t>
  </si>
  <si>
    <t>U-4_LHS10</t>
  </si>
  <si>
    <t>U-4_LHS11</t>
  </si>
  <si>
    <t>U-4_LHS12</t>
  </si>
  <si>
    <t>U-4_LHS13</t>
  </si>
  <si>
    <t>U-4_LHS14</t>
  </si>
  <si>
    <t>U-4_LHS15</t>
  </si>
  <si>
    <t>U-4_LHS16</t>
  </si>
  <si>
    <t>U-4_LHS17</t>
  </si>
  <si>
    <t>U-4_LHS18</t>
  </si>
  <si>
    <t>U-4_LHS19</t>
  </si>
  <si>
    <t>U-4_LHS20</t>
  </si>
  <si>
    <t>OR-1_LHS01</t>
  </si>
  <si>
    <t>OR-1</t>
  </si>
  <si>
    <t>OR-1_LHS02</t>
  </si>
  <si>
    <t>OR-1_LHS03</t>
  </si>
  <si>
    <t>OR-1_LHS04</t>
  </si>
  <si>
    <t>OR-1_LHS05</t>
  </si>
  <si>
    <t>OR-1_LHS06</t>
  </si>
  <si>
    <t>OR-1_LHS07</t>
  </si>
  <si>
    <t>OR-1_LHS08</t>
  </si>
  <si>
    <t>OR-1_LHS09</t>
  </si>
  <si>
    <t>OR-1_LHS10</t>
  </si>
  <si>
    <t>OR-1_LHS11</t>
  </si>
  <si>
    <t>OR-1_LHS12</t>
  </si>
  <si>
    <t>OR-1_LHS13</t>
  </si>
  <si>
    <t>OR-1_LHS14</t>
  </si>
  <si>
    <t>OR-1_LHS15</t>
  </si>
  <si>
    <t>OR-1_LHS16</t>
  </si>
  <si>
    <t>OR-1_LHS17</t>
  </si>
  <si>
    <t>OR-1_LHS18</t>
  </si>
  <si>
    <t>OR-1_LHS19</t>
  </si>
  <si>
    <t>OR-1_LHS20</t>
  </si>
  <si>
    <t>OR-2_LHS01</t>
  </si>
  <si>
    <t>OR-2</t>
  </si>
  <si>
    <t>OR-2_LHS02</t>
  </si>
  <si>
    <t>OR-2_LHS03</t>
  </si>
  <si>
    <t>OR-2_LHS04</t>
  </si>
  <si>
    <t>OR-2_LHS05</t>
  </si>
  <si>
    <t>OR-2_LHS06</t>
  </si>
  <si>
    <t>OR-2_LHS07</t>
  </si>
  <si>
    <t>OR-2_LHS08</t>
  </si>
  <si>
    <t>OR-2_LHS09</t>
  </si>
  <si>
    <t>OR-2_LHS10</t>
  </si>
  <si>
    <t>OR-2_LHS11</t>
  </si>
  <si>
    <t>OR-2_LHS12</t>
  </si>
  <si>
    <t>OR-2_LHS13</t>
  </si>
  <si>
    <t>OR-2_LHS14</t>
  </si>
  <si>
    <t>OR-2_LHS15</t>
  </si>
  <si>
    <t>OR-2_LHS16</t>
  </si>
  <si>
    <t>OR-2_LHS17</t>
  </si>
  <si>
    <t>OR-2_LHS18</t>
  </si>
  <si>
    <t>OR-2_LHS19</t>
  </si>
  <si>
    <t>OR-2_LHS20</t>
  </si>
  <si>
    <t>OR-3_LHS01</t>
  </si>
  <si>
    <t>OR-3</t>
  </si>
  <si>
    <t>OR-3_LHS02</t>
  </si>
  <si>
    <t>OR-3_LHS03</t>
  </si>
  <si>
    <t>OR-3_LHS04</t>
  </si>
  <si>
    <t>OR-3_LHS05</t>
  </si>
  <si>
    <t>OR-3_LHS06</t>
  </si>
  <si>
    <t>OR-3_LHS07</t>
  </si>
  <si>
    <t>OR-3_LHS08</t>
  </si>
  <si>
    <t>OR-3_LHS09</t>
  </si>
  <si>
    <t>OR-3_LHS10</t>
  </si>
  <si>
    <t>OR-3_LHS11</t>
  </si>
  <si>
    <t>OR-3_LHS12</t>
  </si>
  <si>
    <t>OR-3_LHS13</t>
  </si>
  <si>
    <t>OR-3_LHS14</t>
  </si>
  <si>
    <t>OR-3_LHS15</t>
  </si>
  <si>
    <t>OR-3_LHS16</t>
  </si>
  <si>
    <t>OR-3_LHS17</t>
  </si>
  <si>
    <t>OR-3_LHS18</t>
  </si>
  <si>
    <t>OR-3_LHS19</t>
  </si>
  <si>
    <t>OR-3_LHS20</t>
  </si>
  <si>
    <t>Item</t>
  </si>
  <si>
    <t>Value</t>
  </si>
  <si>
    <t>Reference specimen</t>
  </si>
  <si>
    <t>Reference source</t>
  </si>
  <si>
    <t>Dazio, A., Beyer, K., &amp; Bachmann, H. (2009). Quasi-static cyclic tests and plastic hinge analysis of RC structural walls. Engineering Structures, 31(7), 1556-1571.</t>
  </si>
  <si>
    <t>Reference properties</t>
  </si>
  <si>
    <t>wsh6_reference.py</t>
  </si>
  <si>
    <t>ML input</t>
  </si>
  <si>
    <t>Calibration min</t>
  </si>
  <si>
    <t>Calibration max</t>
  </si>
  <si>
    <t>Configuration source</t>
  </si>
  <si>
    <t>Configurations_model_input.xlsx</t>
  </si>
  <si>
    <t>ALR (%)</t>
  </si>
  <si>
    <t>Web FE model</t>
  </si>
  <si>
    <t>Lw (mm)</t>
  </si>
  <si>
    <t>Boundary FE model</t>
  </si>
  <si>
    <t>H (mm)</t>
  </si>
  <si>
    <t>Calibration source</t>
  </si>
  <si>
    <t>PublicUse/MLmodel</t>
  </si>
  <si>
    <t>ρt (%)</t>
  </si>
  <si>
    <t>Number of configurations</t>
  </si>
  <si>
    <t>Lw/tw</t>
  </si>
  <si>
    <t xml:space="preserve">Sampling design: </t>
  </si>
  <si>
    <t>Common crossed 20-point, two-dimensional Latin hypercube sampling (LHS).</t>
  </si>
  <si>
    <t>fylρl (MPa)</t>
  </si>
  <si>
    <t>LHS samples per configuration</t>
  </si>
  <si>
    <t>fyvρv (MPa)</t>
  </si>
  <si>
    <t>Total analytical specimens</t>
  </si>
  <si>
    <t>Acc (mm²)</t>
  </si>
  <si>
    <t>LHS seed</t>
  </si>
  <si>
    <t>Concrete strength range (MPa)</t>
  </si>
  <si>
    <t>20-60</t>
  </si>
  <si>
    <t>ALR range (%)</t>
  </si>
  <si>
    <t>5-45</t>
  </si>
  <si>
    <t>Web rho_l definition</t>
  </si>
  <si>
    <t>rho_l = n_face * A_bar / (s * t_w)</t>
  </si>
  <si>
    <t>Model-error lower factor</t>
  </si>
  <si>
    <t>Model-error upper factor</t>
  </si>
  <si>
    <t>Model-error bound scope</t>
  </si>
  <si>
    <t>Applied only to flexure-dominated analytical specimens; shear-susceptible specimens marked NA or left blank.</t>
  </si>
  <si>
    <t>Failure mode classification criteria</t>
  </si>
  <si>
    <t>Derived from V_CE/V_MCyE &gt;= 1.15; engineering classification, not simulated physical shear failure</t>
  </si>
  <si>
    <t>Public repository naming note</t>
  </si>
  <si>
    <t>W-HL-3 is the standardized configuration identifier used in the manuscript and public database</t>
  </si>
  <si>
    <t>Lower model-error bound: Delta_u_abs_mm multiplied by the factor in Metadata!B16 (0.747). Unit: mm.</t>
  </si>
  <si>
    <t>Upper model-error bound: Delta_u_abs_mm multiplied by the factor in Metadata!B17 (1.067). Unit: mm.</t>
  </si>
  <si>
    <t>Lower model-error bound: mu_abs multiplied by the factor in Metadata!B16 (0.747). Dimensionless.</t>
  </si>
  <si>
    <t>Upper model-error bound: mu_abs multiplied by the factor in Metadata!B17 (1.067). Dimensionless.</t>
  </si>
  <si>
    <t>Bound interpretation</t>
  </si>
  <si>
    <t>Bounds apply only to flexure-dominated analytical specimens. NA or blank entries indicate that these bounds are not assigned. The multipliers represent the adopted model-error bounds, not positive/negative loading branches.</t>
  </si>
  <si>
    <t>ML calibration ranges</t>
  </si>
  <si>
    <t>ML_range_status</t>
  </si>
  <si>
    <t>Within calibration ranges: all eight inputs lie within their inclusive limits. Outside calibration ranges: at least one input lies outside. These precomputed indicators describe the supplied analytical specimens and must be recomputed if inputs or calibration limits change.</t>
  </si>
  <si>
    <t>ML_out_of_range_inputs</t>
  </si>
  <si>
    <t>Semicolon-separated names of inputs outside their calibration limits. None means no input is outside. Missing input means the check cannot be completed.</t>
  </si>
  <si>
    <t>ML range interpretation</t>
  </si>
  <si>
    <t>This is a specimen-specific, univariate input-range check. Being within all ranges does not establish joint training-data coverage or guarantee prediction accuracy.</t>
  </si>
  <si>
    <t>ML feature convention</t>
  </si>
  <si>
    <t>fyl*rho_l uses boundary yield strength (MPa) times the computed nominal web reinforcement ratio in percent. fyv*rho_v uses the mean boundary/web yield strength times the total discrete vertical-steel ratio in percent, matching the FE drivers.</t>
  </si>
  <si>
    <t>ML geometry and confinement</t>
  </si>
  <si>
    <t>Lw and H are the reference wall length and loading height. Acc is the total confined core area of both boundary regions, set to zero when rho_sh is zero.</t>
  </si>
  <si>
    <t>ML feature source</t>
  </si>
  <si>
    <t>Feature definitions: run_FEmodel_webconf.py and run_FEmodel_boundconf.py. Fixed geometry and material properties: wsh6_reference.py.</t>
  </si>
  <si>
    <t>LHS_seed</t>
  </si>
  <si>
    <t>ML_E_max</t>
  </si>
  <si>
    <t>ML_E_ALR</t>
  </si>
  <si>
    <t>ML_E_rho_t</t>
  </si>
  <si>
    <t>Metadata!F5:H12 gives the eight input ranges from the implemented 110-Walls model: PublicUse/MLmodel/110-Walls/supportFiles/XtrainMin.txt and XtrainMax.txt.</t>
  </si>
  <si>
    <t>Maximum normalized range exceedance for each supplied analytical case. Stored as a fraction and displayed as a percentage (0.039 = 3.9%).</t>
  </si>
  <si>
    <t>ALR exceedance: max(lower - ALR, 0, ALR - upper) / (upper - lower). ALR is in Master_620!H; bounds are in Metadata!G5:H5.</t>
  </si>
  <si>
    <t>Transverse web reinforcement exceedance: max(lower - rho_t, 0, rho_t - upper) / (upper - lower). rho_t is in Master_620!L; bounds are in Metadata!G8:H8.</t>
  </si>
  <si>
    <t>ML_E_max calculation scope</t>
  </si>
  <si>
    <t>The existing eight-input screening identifies exceedances only in ALR and rho_t for these 620 cases. Therefore E_max = max(E_ALR, E_rho_t); the other six inputs contribute zero for the supplied cases.</t>
  </si>
  <si>
    <t>Applicability interpretation</t>
  </si>
  <si>
    <t>E_max = 0 means all eight inputs are within their marginal calibration ranges. A positive value measures the greatest normalized bound exceedance. This indicator does not establish joint training support or prediction accuracy.</t>
  </si>
  <si>
    <t>Recalculation scope</t>
  </si>
  <si>
    <t>The E formulas update ALR and rho_t exceedances. Changes to other ML inputs, calibration bounds, or the case set require repeating the full eight-input screening before interpreting E_max. Existing range-status labels are precomputed.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</si>
</sst>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2" fontId="3" fillId="0" borderId="1" xfId="0" applyNumberFormat="1" applyFont="1" applyBorder="1"/>
    <xf numFmtId="2" fontId="2" fillId="0" borderId="1" xfId="0" applyNumberFormat="1" applyFont="1" applyBorder="1"/>
    <xf numFmtId="0" fontId="3" fillId="0" borderId="2" xfId="0" applyFont="1" applyBorder="1"/>
    <xf numFmtId="0" fontId="2" fillId="0" borderId="4" xfId="0" applyFont="1" applyBorder="1"/>
    <xf numFmtId="0" fontId="0" fillId="0" borderId="3" xfId="0" applyBorder="1"/>
    <xf numFmtId="0" fontId="2" fillId="0" borderId="6" xfId="0" applyFont="1" applyBorder="1"/>
    <xf numFmtId="0" fontId="0" fillId="0" borderId="5" xfId="0" applyBorder="1" applyAlignment="1">
      <alignment wrapText="1"/>
    </xf>
    <xf numFmtId="0" fontId="2" fillId="0" borderId="7" xfId="0" applyFont="1" applyBorder="1"/>
    <xf numFmtId="2" fontId="3" fillId="0" borderId="8" xfId="0" applyNumberFormat="1" applyFont="1" applyBorder="1"/>
    <xf numFmtId="2" fontId="2" fillId="0" borderId="8" xfId="0" applyNumberFormat="1" applyFont="1" applyBorder="1"/>
    <xf numFmtId="0" fontId="3" fillId="0" borderId="9" xfId="0" applyFont="1" applyBorder="1"/>
    <xf numFmtId="2" fontId="3" fillId="0" borderId="10" xfId="0" applyNumberFormat="1" applyFont="1" applyBorder="1"/>
    <xf numFmtId="2" fontId="3" fillId="0" borderId="11" xfId="0" applyNumberFormat="1" applyFont="1" applyBorder="1"/>
    <xf numFmtId="2" fontId="0" fillId="0" borderId="0" xfId="0" applyNumberFormat="1"/>
    <xf numFmtId="0" fontId="5" fillId="0" borderId="12" xfId="0" applyFont="1" applyBorder="1" applyAlignment="1">
      <alignment horizontal="center" vertical="top"/>
    </xf>
    <xf numFmtId="10" fontId="0" fillId="0" borderId="0" xfId="0" applyNumberFormat="1"/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21"/>
  <sheetViews>
    <sheetView topLeftCell="AP1" workbookViewId="0"/>
  </sheetViews>
  <sheetFormatPr baseColWidth="10" defaultColWidth="8.83203125" defaultRowHeight="15" x14ac:dyDescent="0.2"/>
  <cols>
    <col min="5" max="5" width="23" customWidth="1"/>
    <col min="24" max="24" width="20" customWidth="1"/>
    <col min="41" max="41" width="14.1640625" customWidth="1"/>
    <col min="42" max="42" width="17.33203125" customWidth="1"/>
    <col min="44" max="44" width="11.6640625" customWidth="1"/>
    <col min="45" max="45" width="14.33203125" customWidth="1"/>
    <col min="47" max="50" width="8.83203125" style="6" customWidth="1"/>
    <col min="51" max="51" width="28.1640625" customWidth="1"/>
    <col min="52" max="52" width="19.33203125" customWidth="1"/>
    <col min="53" max="53" width="9.33203125" bestFit="1" customWidth="1"/>
    <col min="54" max="54" width="9.1640625" bestFit="1" customWidth="1"/>
    <col min="55" max="55" width="10.33203125" bestFit="1" customWidth="1"/>
    <col min="56" max="60" width="24" customWidth="1"/>
  </cols>
  <sheetData>
    <row r="1" spans="1:55" ht="5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3" t="s">
        <v>50</v>
      </c>
      <c r="AZ1" s="3" t="s">
        <v>51</v>
      </c>
      <c r="BA1" s="22" t="s">
        <v>782</v>
      </c>
      <c r="BB1" s="22" t="s">
        <v>783</v>
      </c>
      <c r="BC1" s="22" t="s">
        <v>784</v>
      </c>
    </row>
    <row r="2" spans="1:55" x14ac:dyDescent="0.2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1</v>
      </c>
      <c r="G2">
        <v>22.11413992487228</v>
      </c>
      <c r="H2">
        <v>28.832065765515338</v>
      </c>
      <c r="I2">
        <v>1.57</v>
      </c>
      <c r="J2">
        <v>1.5</v>
      </c>
      <c r="K2">
        <v>0.54</v>
      </c>
      <c r="L2">
        <v>0.25</v>
      </c>
      <c r="M2">
        <v>8</v>
      </c>
      <c r="N2">
        <v>125</v>
      </c>
      <c r="Q2">
        <v>0.53616514621265798</v>
      </c>
      <c r="R2">
        <v>1866510.334985178</v>
      </c>
      <c r="S2">
        <v>-5.257015060687085E-3</v>
      </c>
      <c r="T2">
        <v>931.93139645531812</v>
      </c>
      <c r="U2">
        <v>672.06023102885479</v>
      </c>
      <c r="V2">
        <v>206.1795124901146</v>
      </c>
      <c r="W2">
        <v>3.2595878364057969</v>
      </c>
      <c r="X2" t="s">
        <v>57</v>
      </c>
      <c r="Z2">
        <v>543.99900000000002</v>
      </c>
      <c r="AA2">
        <v>95.163399999999996</v>
      </c>
      <c r="AB2">
        <v>37.809100000000001</v>
      </c>
      <c r="AC2">
        <v>15.881387638154729</v>
      </c>
      <c r="AD2">
        <v>46.317001540930967</v>
      </c>
      <c r="AE2">
        <v>46.317001540930967</v>
      </c>
      <c r="AF2" t="s">
        <v>58</v>
      </c>
      <c r="AG2" t="b">
        <v>1</v>
      </c>
      <c r="AH2">
        <v>2.9164329085233871</v>
      </c>
      <c r="AI2">
        <v>543.69500000000005</v>
      </c>
      <c r="AJ2">
        <v>91.310100000000006</v>
      </c>
      <c r="AK2">
        <v>39.0974</v>
      </c>
      <c r="AL2">
        <v>15.612094766081871</v>
      </c>
      <c r="AM2">
        <v>46.130176871782872</v>
      </c>
      <c r="AN2">
        <v>46.130176871782872</v>
      </c>
      <c r="AO2" t="s">
        <v>58</v>
      </c>
      <c r="AP2" t="b">
        <v>1</v>
      </c>
      <c r="AQ2">
        <v>2.954771769128842</v>
      </c>
      <c r="AR2">
        <v>543.99900000000002</v>
      </c>
      <c r="AS2">
        <v>46.317001540930967</v>
      </c>
      <c r="AT2">
        <v>2.954771769128842</v>
      </c>
      <c r="AU2" s="5">
        <v>34.59880015107543</v>
      </c>
      <c r="AV2" s="5">
        <v>49.42024064417334</v>
      </c>
      <c r="AW2" s="5">
        <v>2.2072145115392448</v>
      </c>
      <c r="AX2" s="5">
        <v>3.1527414776604741</v>
      </c>
      <c r="AY2" t="s">
        <v>59</v>
      </c>
      <c r="AZ2" t="s">
        <v>60</v>
      </c>
      <c r="BA2" s="23">
        <f t="shared" ref="BA2:BA65" si="0">IF(COUNT(BB2:BC2)=2,MAX(BB2:BC2),"Missing input")</f>
        <v>0</v>
      </c>
      <c r="BB2" s="23">
        <f>IF(AND(ISNUMBER(H2),Metadata!$H$5&gt;Metadata!$G$5),MAX(Metadata!$G$5-H2,0,H2-Metadata!$H$5)/(Metadata!$H$5-Metadata!$G$5),"Missing input")</f>
        <v>0</v>
      </c>
      <c r="BC2" s="23">
        <f>IF(AND(ISNUMBER(L2),Metadata!$H$8&gt;Metadata!$G$8),MAX(Metadata!$G$8-L2,0,L2-Metadata!$H$8)/(Metadata!$H$8-Metadata!$G$8),"Missing input")</f>
        <v>0</v>
      </c>
    </row>
    <row r="3" spans="1:55" x14ac:dyDescent="0.2">
      <c r="A3" t="s">
        <v>61</v>
      </c>
      <c r="B3" t="s">
        <v>53</v>
      </c>
      <c r="C3" t="s">
        <v>54</v>
      </c>
      <c r="D3" t="s">
        <v>55</v>
      </c>
      <c r="E3" t="s">
        <v>56</v>
      </c>
      <c r="F3">
        <v>2</v>
      </c>
      <c r="G3">
        <v>39.289372610104301</v>
      </c>
      <c r="H3">
        <v>11.43599740060767</v>
      </c>
      <c r="I3">
        <v>1.57</v>
      </c>
      <c r="J3">
        <v>1.5</v>
      </c>
      <c r="K3">
        <v>0.54</v>
      </c>
      <c r="L3">
        <v>0.25</v>
      </c>
      <c r="M3">
        <v>8</v>
      </c>
      <c r="N3">
        <v>125</v>
      </c>
      <c r="Q3">
        <v>0.53616514621265798</v>
      </c>
      <c r="R3">
        <v>1301660.814121977</v>
      </c>
      <c r="S3">
        <v>-3.2987620715852961E-3</v>
      </c>
      <c r="T3">
        <v>682.24591859950192</v>
      </c>
      <c r="U3">
        <v>750.05745558684532</v>
      </c>
      <c r="V3">
        <v>150.93936252201371</v>
      </c>
      <c r="W3">
        <v>4.9692634383390439</v>
      </c>
      <c r="X3" t="s">
        <v>57</v>
      </c>
      <c r="Z3">
        <v>551.62099999999998</v>
      </c>
      <c r="AA3">
        <v>95.163399999999996</v>
      </c>
      <c r="AB3">
        <v>51.296399999999998</v>
      </c>
      <c r="AC3">
        <v>15.18084503417343</v>
      </c>
      <c r="AE3">
        <v>95.163399999999996</v>
      </c>
      <c r="AF3" t="s">
        <v>62</v>
      </c>
      <c r="AG3" t="b">
        <v>0</v>
      </c>
      <c r="AH3">
        <v>6.2686497217894486</v>
      </c>
      <c r="AI3">
        <v>548.42700000000002</v>
      </c>
      <c r="AJ3">
        <v>91.310100000000006</v>
      </c>
      <c r="AK3">
        <v>60.942799999999998</v>
      </c>
      <c r="AL3">
        <v>14.74529968590832</v>
      </c>
      <c r="AN3">
        <v>91.310100000000006</v>
      </c>
      <c r="AO3" t="s">
        <v>62</v>
      </c>
      <c r="AP3" t="b">
        <v>0</v>
      </c>
      <c r="AQ3">
        <v>6.1924885858550969</v>
      </c>
      <c r="AR3">
        <v>551.62099999999998</v>
      </c>
      <c r="AS3">
        <v>95.163399999999996</v>
      </c>
      <c r="AT3">
        <v>6.2686497217894486</v>
      </c>
      <c r="AU3" s="5">
        <v>71.087059799999992</v>
      </c>
      <c r="AV3" s="5">
        <v>101.53934779999999</v>
      </c>
      <c r="AW3" s="5">
        <v>4.6826813421767177</v>
      </c>
      <c r="AX3" s="5">
        <v>6.6886492531493413</v>
      </c>
      <c r="AY3" t="s">
        <v>59</v>
      </c>
      <c r="AZ3" t="s">
        <v>60</v>
      </c>
      <c r="BA3" s="23">
        <f t="shared" si="0"/>
        <v>0</v>
      </c>
      <c r="BB3" s="23">
        <f>IF(AND(ISNUMBER(H3),Metadata!$H$5&gt;Metadata!$G$5),MAX(Metadata!$G$5-H3,0,H3-Metadata!$H$5)/(Metadata!$H$5-Metadata!$G$5),"Missing input")</f>
        <v>0</v>
      </c>
      <c r="BC3" s="23">
        <f>IF(AND(ISNUMBER(L3),Metadata!$H$8&gt;Metadata!$G$8),MAX(Metadata!$G$8-L3,0,L3-Metadata!$H$8)/(Metadata!$H$8-Metadata!$G$8),"Missing input")</f>
        <v>0</v>
      </c>
    </row>
    <row r="4" spans="1:55" x14ac:dyDescent="0.2">
      <c r="A4" t="s">
        <v>63</v>
      </c>
      <c r="B4" t="s">
        <v>53</v>
      </c>
      <c r="C4" t="s">
        <v>54</v>
      </c>
      <c r="D4" t="s">
        <v>55</v>
      </c>
      <c r="E4" t="s">
        <v>56</v>
      </c>
      <c r="F4">
        <v>3</v>
      </c>
      <c r="G4">
        <v>50.720967279676117</v>
      </c>
      <c r="H4">
        <v>41.572102032205443</v>
      </c>
      <c r="I4">
        <v>1.57</v>
      </c>
      <c r="J4">
        <v>1.5</v>
      </c>
      <c r="K4">
        <v>0.54</v>
      </c>
      <c r="L4">
        <v>0.25</v>
      </c>
      <c r="M4">
        <v>8</v>
      </c>
      <c r="N4">
        <v>125</v>
      </c>
      <c r="Q4">
        <v>0.53616514621265798</v>
      </c>
      <c r="R4">
        <v>6279453.0057685468</v>
      </c>
      <c r="S4">
        <v>-5.5786534011117448E-3</v>
      </c>
      <c r="T4">
        <v>2795.5189136654449</v>
      </c>
      <c r="U4">
        <v>792.59154081609961</v>
      </c>
      <c r="V4">
        <v>618.47763576669149</v>
      </c>
      <c r="W4">
        <v>1.2815201310126101</v>
      </c>
      <c r="X4" t="s">
        <v>57</v>
      </c>
      <c r="Z4">
        <v>1025.73</v>
      </c>
      <c r="AA4">
        <v>95.163399999999996</v>
      </c>
      <c r="AB4">
        <v>29.7498</v>
      </c>
      <c r="AC4">
        <v>14.0465623043206</v>
      </c>
      <c r="AD4">
        <v>31.36219093869294</v>
      </c>
      <c r="AE4">
        <v>31.36219093869294</v>
      </c>
      <c r="AF4" t="s">
        <v>58</v>
      </c>
      <c r="AG4" t="b">
        <v>1</v>
      </c>
      <c r="AH4">
        <v>2.2327307037285702</v>
      </c>
      <c r="AI4">
        <v>1028.78</v>
      </c>
      <c r="AJ4">
        <v>91.310100000000006</v>
      </c>
      <c r="AK4">
        <v>30.360199999999999</v>
      </c>
      <c r="AL4">
        <v>13.216089483747609</v>
      </c>
      <c r="AM4">
        <v>32.17097162033933</v>
      </c>
      <c r="AN4">
        <v>32.17097162033933</v>
      </c>
      <c r="AO4" t="s">
        <v>58</v>
      </c>
      <c r="AP4" t="b">
        <v>1</v>
      </c>
      <c r="AQ4">
        <v>2.4342277388407019</v>
      </c>
      <c r="AR4">
        <v>1028.78</v>
      </c>
      <c r="AS4">
        <v>32.17097162033933</v>
      </c>
      <c r="AT4">
        <v>2.4342277388407019</v>
      </c>
      <c r="AU4" s="5">
        <v>24.031715800393478</v>
      </c>
      <c r="AV4" s="5">
        <v>34.326426718902063</v>
      </c>
      <c r="AW4" s="5">
        <v>1.8183681209140043</v>
      </c>
      <c r="AX4" s="5">
        <v>2.5973209973430289</v>
      </c>
      <c r="AY4" t="s">
        <v>64</v>
      </c>
      <c r="AZ4" t="s">
        <v>7</v>
      </c>
      <c r="BA4" s="23">
        <f t="shared" si="0"/>
        <v>4.6063612035701466E-2</v>
      </c>
      <c r="BB4" s="23">
        <f>IF(AND(ISNUMBER(H4),Metadata!$H$5&gt;Metadata!$G$5),MAX(Metadata!$G$5-H4,0,H4-Metadata!$H$5)/(Metadata!$H$5-Metadata!$G$5),"Missing input")</f>
        <v>4.6063612035701466E-2</v>
      </c>
      <c r="BC4" s="23">
        <f>IF(AND(ISNUMBER(L4),Metadata!$H$8&gt;Metadata!$G$8),MAX(Metadata!$G$8-L4,0,L4-Metadata!$H$8)/(Metadata!$H$8-Metadata!$G$8),"Missing input")</f>
        <v>0</v>
      </c>
    </row>
    <row r="5" spans="1:55" x14ac:dyDescent="0.2">
      <c r="A5" t="s">
        <v>65</v>
      </c>
      <c r="B5" t="s">
        <v>53</v>
      </c>
      <c r="C5" t="s">
        <v>54</v>
      </c>
      <c r="D5" t="s">
        <v>55</v>
      </c>
      <c r="E5" t="s">
        <v>56</v>
      </c>
      <c r="F5">
        <v>4</v>
      </c>
      <c r="G5">
        <v>40.065365059576777</v>
      </c>
      <c r="H5">
        <v>25.23064360495534</v>
      </c>
      <c r="I5">
        <v>1.57</v>
      </c>
      <c r="J5">
        <v>1.5</v>
      </c>
      <c r="K5">
        <v>0.54</v>
      </c>
      <c r="L5">
        <v>0.25</v>
      </c>
      <c r="M5">
        <v>8</v>
      </c>
      <c r="N5">
        <v>125</v>
      </c>
      <c r="Q5">
        <v>0.53616514621265798</v>
      </c>
      <c r="R5">
        <v>2986346.165161836</v>
      </c>
      <c r="S5">
        <v>-4.9865956573800314E-3</v>
      </c>
      <c r="T5">
        <v>1323.2635029237761</v>
      </c>
      <c r="U5">
        <v>753.12627800274458</v>
      </c>
      <c r="V5">
        <v>292.75741215127789</v>
      </c>
      <c r="W5">
        <v>2.5725267636044622</v>
      </c>
      <c r="X5" t="s">
        <v>57</v>
      </c>
      <c r="Z5">
        <v>769.55100000000004</v>
      </c>
      <c r="AA5">
        <v>95.163399999999996</v>
      </c>
      <c r="AB5">
        <v>42.519599999999997</v>
      </c>
      <c r="AC5">
        <v>15.23753437608319</v>
      </c>
      <c r="AD5">
        <v>51.184497268946288</v>
      </c>
      <c r="AE5">
        <v>51.184497268946288</v>
      </c>
      <c r="AF5" t="s">
        <v>58</v>
      </c>
      <c r="AG5" t="b">
        <v>1</v>
      </c>
      <c r="AH5">
        <v>3.3591062704531378</v>
      </c>
      <c r="AI5">
        <v>765.36199999999997</v>
      </c>
      <c r="AJ5">
        <v>91.310100000000006</v>
      </c>
      <c r="AK5">
        <v>39.358900000000013</v>
      </c>
      <c r="AL5">
        <v>14.86386083965178</v>
      </c>
      <c r="AM5">
        <v>51.291696690465997</v>
      </c>
      <c r="AN5">
        <v>51.291696690465997</v>
      </c>
      <c r="AO5" t="s">
        <v>58</v>
      </c>
      <c r="AP5" t="b">
        <v>1</v>
      </c>
      <c r="AQ5">
        <v>3.450765399635404</v>
      </c>
      <c r="AR5">
        <v>769.55100000000004</v>
      </c>
      <c r="AS5">
        <v>51.291696690465997</v>
      </c>
      <c r="AT5">
        <v>3.450765399635404</v>
      </c>
      <c r="AU5" s="5">
        <v>38.314897427778099</v>
      </c>
      <c r="AV5" s="5">
        <v>54.728240368727214</v>
      </c>
      <c r="AW5" s="5">
        <v>2.5777217535276469</v>
      </c>
      <c r="AX5" s="5">
        <v>3.6819666814109757</v>
      </c>
      <c r="AY5" t="s">
        <v>59</v>
      </c>
      <c r="AZ5" t="s">
        <v>60</v>
      </c>
      <c r="BA5" s="23">
        <f t="shared" si="0"/>
        <v>0</v>
      </c>
      <c r="BB5" s="23">
        <f>IF(AND(ISNUMBER(H5),Metadata!$H$5&gt;Metadata!$G$5),MAX(Metadata!$G$5-H5,0,H5-Metadata!$H$5)/(Metadata!$H$5-Metadata!$G$5),"Missing input")</f>
        <v>0</v>
      </c>
      <c r="BC5" s="23">
        <f>IF(AND(ISNUMBER(L5),Metadata!$H$8&gt;Metadata!$G$8),MAX(Metadata!$G$8-L5,0,L5-Metadata!$H$8)/(Metadata!$H$8-Metadata!$G$8),"Missing input")</f>
        <v>0</v>
      </c>
    </row>
    <row r="6" spans="1:55" x14ac:dyDescent="0.2">
      <c r="A6" t="s">
        <v>66</v>
      </c>
      <c r="B6" t="s">
        <v>53</v>
      </c>
      <c r="C6" t="s">
        <v>54</v>
      </c>
      <c r="D6" t="s">
        <v>55</v>
      </c>
      <c r="E6" t="s">
        <v>56</v>
      </c>
      <c r="F6">
        <v>5</v>
      </c>
      <c r="G6">
        <v>44.691650234033148</v>
      </c>
      <c r="H6">
        <v>35.278860063057749</v>
      </c>
      <c r="I6">
        <v>1.57</v>
      </c>
      <c r="J6">
        <v>1.5</v>
      </c>
      <c r="K6">
        <v>0.54</v>
      </c>
      <c r="L6">
        <v>0.25</v>
      </c>
      <c r="M6">
        <v>8</v>
      </c>
      <c r="N6">
        <v>125</v>
      </c>
      <c r="Q6">
        <v>0.53616514621265798</v>
      </c>
      <c r="R6">
        <v>4683732.748780732</v>
      </c>
      <c r="S6">
        <v>-5.5329742389417487E-3</v>
      </c>
      <c r="T6">
        <v>2061.9786008310161</v>
      </c>
      <c r="U6">
        <v>770.83560231362162</v>
      </c>
      <c r="V6">
        <v>456.18995593606547</v>
      </c>
      <c r="W6">
        <v>1.689725063612872</v>
      </c>
      <c r="X6" t="s">
        <v>57</v>
      </c>
      <c r="Z6">
        <v>911.83199999999999</v>
      </c>
      <c r="AA6">
        <v>95.163399999999996</v>
      </c>
      <c r="AB6">
        <v>34.031300000000002</v>
      </c>
      <c r="AC6">
        <v>14.51503420143503</v>
      </c>
      <c r="AD6">
        <v>37.423961201316523</v>
      </c>
      <c r="AE6">
        <v>37.423961201316523</v>
      </c>
      <c r="AF6" t="s">
        <v>58</v>
      </c>
      <c r="AG6" t="b">
        <v>1</v>
      </c>
      <c r="AH6">
        <v>2.578289563907235</v>
      </c>
      <c r="AI6">
        <v>906.85400000000004</v>
      </c>
      <c r="AJ6">
        <v>91.310100000000006</v>
      </c>
      <c r="AK6">
        <v>33.603999999999999</v>
      </c>
      <c r="AL6">
        <v>13.80333070681187</v>
      </c>
      <c r="AM6">
        <v>36.859673315253723</v>
      </c>
      <c r="AN6">
        <v>36.859673315253723</v>
      </c>
      <c r="AO6" t="s">
        <v>58</v>
      </c>
      <c r="AP6" t="b">
        <v>1</v>
      </c>
      <c r="AQ6">
        <v>2.670346316998959</v>
      </c>
      <c r="AR6">
        <v>911.83199999999999</v>
      </c>
      <c r="AS6">
        <v>37.423961201316523</v>
      </c>
      <c r="AT6">
        <v>2.670346316998959</v>
      </c>
      <c r="AU6" s="5">
        <v>27.955699017383441</v>
      </c>
      <c r="AV6" s="5">
        <v>39.931366601804726</v>
      </c>
      <c r="AW6" s="5">
        <v>1.9947486987982224</v>
      </c>
      <c r="AX6" s="5">
        <v>2.8492595202378892</v>
      </c>
      <c r="AY6" t="s">
        <v>59</v>
      </c>
      <c r="AZ6" t="s">
        <v>60</v>
      </c>
      <c r="BA6" s="23">
        <f t="shared" si="0"/>
        <v>0</v>
      </c>
      <c r="BB6" s="23">
        <f>IF(AND(ISNUMBER(H6),Metadata!$H$5&gt;Metadata!$G$5),MAX(Metadata!$G$5-H6,0,H6-Metadata!$H$5)/(Metadata!$H$5-Metadata!$G$5),"Missing input")</f>
        <v>0</v>
      </c>
      <c r="BC6" s="23">
        <f>IF(AND(ISNUMBER(L6),Metadata!$H$8&gt;Metadata!$G$8),MAX(Metadata!$G$8-L6,0,L6-Metadata!$H$8)/(Metadata!$H$8-Metadata!$G$8),"Missing input")</f>
        <v>0</v>
      </c>
    </row>
    <row r="7" spans="1:55" x14ac:dyDescent="0.2">
      <c r="A7" t="s">
        <v>67</v>
      </c>
      <c r="B7" t="s">
        <v>53</v>
      </c>
      <c r="C7" t="s">
        <v>54</v>
      </c>
      <c r="D7" t="s">
        <v>55</v>
      </c>
      <c r="E7" t="s">
        <v>56</v>
      </c>
      <c r="F7">
        <v>6</v>
      </c>
      <c r="G7">
        <v>33.086500490231572</v>
      </c>
      <c r="H7">
        <v>19.79580616436397</v>
      </c>
      <c r="I7">
        <v>1.57</v>
      </c>
      <c r="J7">
        <v>1.5</v>
      </c>
      <c r="K7">
        <v>0.54</v>
      </c>
      <c r="L7">
        <v>0.25</v>
      </c>
      <c r="M7">
        <v>8</v>
      </c>
      <c r="N7">
        <v>125</v>
      </c>
      <c r="Q7">
        <v>0.53616514621265798</v>
      </c>
      <c r="R7">
        <v>1918643.176085273</v>
      </c>
      <c r="S7">
        <v>-4.421178534301776E-3</v>
      </c>
      <c r="T7">
        <v>915.0391797947683</v>
      </c>
      <c r="U7">
        <v>724.34809556380162</v>
      </c>
      <c r="V7">
        <v>202.44229641477179</v>
      </c>
      <c r="W7">
        <v>3.578047218352673</v>
      </c>
      <c r="X7" t="s">
        <v>57</v>
      </c>
      <c r="Z7">
        <v>616.86199999999997</v>
      </c>
      <c r="AA7">
        <v>95.156199999999998</v>
      </c>
      <c r="AB7">
        <v>49.582299999999996</v>
      </c>
      <c r="AC7">
        <v>15.36617366751269</v>
      </c>
      <c r="AD7">
        <v>62.966900961748642</v>
      </c>
      <c r="AE7">
        <v>62.966900961748642</v>
      </c>
      <c r="AF7" t="s">
        <v>58</v>
      </c>
      <c r="AG7" t="b">
        <v>1</v>
      </c>
      <c r="AH7">
        <v>4.0977605957216188</v>
      </c>
      <c r="AI7">
        <v>615.07899999999995</v>
      </c>
      <c r="AJ7">
        <v>91.3172</v>
      </c>
      <c r="AK7">
        <v>39.358900000000013</v>
      </c>
      <c r="AL7">
        <v>15.037700932090541</v>
      </c>
      <c r="AM7">
        <v>58.63334013024587</v>
      </c>
      <c r="AN7">
        <v>58.63334013024587</v>
      </c>
      <c r="AO7" t="s">
        <v>58</v>
      </c>
      <c r="AP7" t="b">
        <v>1</v>
      </c>
      <c r="AQ7">
        <v>3.8990893883999229</v>
      </c>
      <c r="AR7">
        <v>616.86199999999997</v>
      </c>
      <c r="AS7">
        <v>62.966900961748642</v>
      </c>
      <c r="AT7">
        <v>4.0977605957216188</v>
      </c>
      <c r="AU7" s="5">
        <v>47.036275018426238</v>
      </c>
      <c r="AV7" s="5">
        <v>67.185683326185796</v>
      </c>
      <c r="AW7" s="5">
        <v>3.0610271650040493</v>
      </c>
      <c r="AX7" s="5">
        <v>4.3723105556349671</v>
      </c>
      <c r="AY7" t="s">
        <v>59</v>
      </c>
      <c r="AZ7" t="s">
        <v>60</v>
      </c>
      <c r="BA7" s="23">
        <f t="shared" si="0"/>
        <v>0</v>
      </c>
      <c r="BB7" s="23">
        <f>IF(AND(ISNUMBER(H7),Metadata!$H$5&gt;Metadata!$G$5),MAX(Metadata!$G$5-H7,0,H7-Metadata!$H$5)/(Metadata!$H$5-Metadata!$G$5),"Missing input")</f>
        <v>0</v>
      </c>
      <c r="BC7" s="23">
        <f>IF(AND(ISNUMBER(L7),Metadata!$H$8&gt;Metadata!$G$8),MAX(Metadata!$G$8-L7,0,L7-Metadata!$H$8)/(Metadata!$H$8-Metadata!$G$8),"Missing input")</f>
        <v>0</v>
      </c>
    </row>
    <row r="8" spans="1:55" x14ac:dyDescent="0.2">
      <c r="A8" t="s">
        <v>68</v>
      </c>
      <c r="B8" t="s">
        <v>53</v>
      </c>
      <c r="C8" t="s">
        <v>54</v>
      </c>
      <c r="D8" t="s">
        <v>55</v>
      </c>
      <c r="E8" t="s">
        <v>56</v>
      </c>
      <c r="F8">
        <v>7</v>
      </c>
      <c r="G8">
        <v>42.943727860216583</v>
      </c>
      <c r="H8">
        <v>31.604415760045629</v>
      </c>
      <c r="I8">
        <v>1.57</v>
      </c>
      <c r="J8">
        <v>1.5</v>
      </c>
      <c r="K8">
        <v>0.54</v>
      </c>
      <c r="L8">
        <v>0.25</v>
      </c>
      <c r="M8">
        <v>8</v>
      </c>
      <c r="N8">
        <v>125</v>
      </c>
      <c r="Q8">
        <v>0.53616514621265798</v>
      </c>
      <c r="R8">
        <v>4025355.613741619</v>
      </c>
      <c r="S8">
        <v>-5.407119652879832E-3</v>
      </c>
      <c r="T8">
        <v>1767.125197942283</v>
      </c>
      <c r="U8">
        <v>764.25751687900618</v>
      </c>
      <c r="V8">
        <v>390.95690219962017</v>
      </c>
      <c r="W8">
        <v>1.9548382764931489</v>
      </c>
      <c r="X8" t="s">
        <v>57</v>
      </c>
      <c r="Z8">
        <v>866.17499999999995</v>
      </c>
      <c r="AA8">
        <v>95.163399999999996</v>
      </c>
      <c r="AB8">
        <v>37.053600000000003</v>
      </c>
      <c r="AC8">
        <v>14.90120197719194</v>
      </c>
      <c r="AD8">
        <v>41.157464949322772</v>
      </c>
      <c r="AE8">
        <v>41.157464949322772</v>
      </c>
      <c r="AF8" t="s">
        <v>58</v>
      </c>
      <c r="AG8" t="b">
        <v>1</v>
      </c>
      <c r="AH8">
        <v>2.7620231584216599</v>
      </c>
      <c r="AI8">
        <v>862.74300000000005</v>
      </c>
      <c r="AJ8">
        <v>91.310100000000006</v>
      </c>
      <c r="AK8">
        <v>36.743099999999998</v>
      </c>
      <c r="AL8">
        <v>14.35007943068706</v>
      </c>
      <c r="AM8">
        <v>39.961967291227033</v>
      </c>
      <c r="AN8">
        <v>39.961967291227033</v>
      </c>
      <c r="AO8" t="s">
        <v>58</v>
      </c>
      <c r="AP8" t="b">
        <v>1</v>
      </c>
      <c r="AQ8">
        <v>2.784790668528982</v>
      </c>
      <c r="AR8">
        <v>866.17499999999995</v>
      </c>
      <c r="AS8">
        <v>41.157464949322772</v>
      </c>
      <c r="AT8">
        <v>2.784790668528982</v>
      </c>
      <c r="AU8" s="5">
        <v>30.74462631714411</v>
      </c>
      <c r="AV8" s="5">
        <v>43.915015100927398</v>
      </c>
      <c r="AW8" s="5">
        <v>2.0802386293911495</v>
      </c>
      <c r="AX8" s="5">
        <v>2.9713716433204236</v>
      </c>
      <c r="AY8" t="s">
        <v>59</v>
      </c>
      <c r="AZ8" t="s">
        <v>60</v>
      </c>
      <c r="BA8" s="23">
        <f t="shared" si="0"/>
        <v>0</v>
      </c>
      <c r="BB8" s="23">
        <f>IF(AND(ISNUMBER(H8),Metadata!$H$5&gt;Metadata!$G$5),MAX(Metadata!$G$5-H8,0,H8-Metadata!$H$5)/(Metadata!$H$5-Metadata!$G$5),"Missing input")</f>
        <v>0</v>
      </c>
      <c r="BC8" s="23">
        <f>IF(AND(ISNUMBER(L8),Metadata!$H$8&gt;Metadata!$G$8),MAX(Metadata!$G$8-L8,0,L8-Metadata!$H$8)/(Metadata!$H$8-Metadata!$G$8),"Missing input")</f>
        <v>0</v>
      </c>
    </row>
    <row r="9" spans="1:55" x14ac:dyDescent="0.2">
      <c r="A9" t="s">
        <v>69</v>
      </c>
      <c r="B9" t="s">
        <v>53</v>
      </c>
      <c r="C9" t="s">
        <v>54</v>
      </c>
      <c r="D9" t="s">
        <v>55</v>
      </c>
      <c r="E9" t="s">
        <v>56</v>
      </c>
      <c r="F9">
        <v>8</v>
      </c>
      <c r="G9">
        <v>29.155454969686971</v>
      </c>
      <c r="H9">
        <v>7.3398505058277053</v>
      </c>
      <c r="I9">
        <v>1.57</v>
      </c>
      <c r="J9">
        <v>1.5</v>
      </c>
      <c r="K9">
        <v>0.54</v>
      </c>
      <c r="L9">
        <v>0.25</v>
      </c>
      <c r="M9">
        <v>8</v>
      </c>
      <c r="N9">
        <v>125</v>
      </c>
      <c r="Q9">
        <v>0.53616514621265798</v>
      </c>
      <c r="R9">
        <v>595711.36772068124</v>
      </c>
      <c r="S9">
        <v>-2.7297982810792188E-3</v>
      </c>
      <c r="T9">
        <v>480.50831710260849</v>
      </c>
      <c r="U9">
        <v>706.7858992589853</v>
      </c>
      <c r="V9">
        <v>106.3071498014621</v>
      </c>
      <c r="W9">
        <v>6.6485264686238876</v>
      </c>
      <c r="X9" t="s">
        <v>57</v>
      </c>
      <c r="Z9">
        <v>414.678</v>
      </c>
      <c r="AA9">
        <v>95.163399999999996</v>
      </c>
      <c r="AB9">
        <v>65.006200000000007</v>
      </c>
      <c r="AC9">
        <v>16.0342416246216</v>
      </c>
      <c r="AE9">
        <v>95.163399999999996</v>
      </c>
      <c r="AF9" t="s">
        <v>62</v>
      </c>
      <c r="AG9" t="b">
        <v>0</v>
      </c>
      <c r="AH9">
        <v>5.9350109738817034</v>
      </c>
      <c r="AI9">
        <v>411.17399999999998</v>
      </c>
      <c r="AJ9">
        <v>91.310100000000006</v>
      </c>
      <c r="AK9">
        <v>64.811499999999995</v>
      </c>
      <c r="AL9">
        <v>15.465794508894041</v>
      </c>
      <c r="AN9">
        <v>91.310100000000006</v>
      </c>
      <c r="AO9" t="s">
        <v>62</v>
      </c>
      <c r="AP9" t="b">
        <v>0</v>
      </c>
      <c r="AQ9">
        <v>5.9040031824740433</v>
      </c>
      <c r="AR9">
        <v>414.678</v>
      </c>
      <c r="AS9">
        <v>95.163399999999996</v>
      </c>
      <c r="AT9">
        <v>5.9350109738817034</v>
      </c>
      <c r="AU9" s="5">
        <v>71.087059799999992</v>
      </c>
      <c r="AV9" s="5">
        <v>101.53934779999999</v>
      </c>
      <c r="AW9" s="5">
        <v>4.4334531974896327</v>
      </c>
      <c r="AX9" s="5">
        <v>6.3326567091317774</v>
      </c>
      <c r="AY9" t="s">
        <v>59</v>
      </c>
      <c r="AZ9" t="s">
        <v>60</v>
      </c>
      <c r="BA9" s="23">
        <f t="shared" si="0"/>
        <v>0</v>
      </c>
      <c r="BB9" s="23">
        <f>IF(AND(ISNUMBER(H9),Metadata!$H$5&gt;Metadata!$G$5),MAX(Metadata!$G$5-H9,0,H9-Metadata!$H$5)/(Metadata!$H$5-Metadata!$G$5),"Missing input")</f>
        <v>0</v>
      </c>
      <c r="BC9" s="23">
        <f>IF(AND(ISNUMBER(L9),Metadata!$H$8&gt;Metadata!$G$8),MAX(Metadata!$G$8-L9,0,L9-Metadata!$H$8)/(Metadata!$H$8-Metadata!$G$8),"Missing input")</f>
        <v>0</v>
      </c>
    </row>
    <row r="10" spans="1:55" x14ac:dyDescent="0.2">
      <c r="A10" t="s">
        <v>70</v>
      </c>
      <c r="B10" t="s">
        <v>53</v>
      </c>
      <c r="C10" t="s">
        <v>54</v>
      </c>
      <c r="D10" t="s">
        <v>55</v>
      </c>
      <c r="E10" t="s">
        <v>56</v>
      </c>
      <c r="F10">
        <v>9</v>
      </c>
      <c r="G10">
        <v>59.748609235827082</v>
      </c>
      <c r="H10">
        <v>37.783512331141722</v>
      </c>
      <c r="I10">
        <v>1.57</v>
      </c>
      <c r="J10">
        <v>1.5</v>
      </c>
      <c r="K10">
        <v>0.54</v>
      </c>
      <c r="L10">
        <v>0.25</v>
      </c>
      <c r="M10">
        <v>8</v>
      </c>
      <c r="N10">
        <v>125</v>
      </c>
      <c r="Q10">
        <v>0.53616514621265798</v>
      </c>
      <c r="R10">
        <v>6726258.2664913209</v>
      </c>
      <c r="S10">
        <v>-5.575073339565942E-3</v>
      </c>
      <c r="T10">
        <v>2958.9793454838732</v>
      </c>
      <c r="U10">
        <v>822.87545002106197</v>
      </c>
      <c r="V10">
        <v>654.64144811590108</v>
      </c>
      <c r="W10">
        <v>1.256986480751179</v>
      </c>
      <c r="X10" t="s">
        <v>57</v>
      </c>
      <c r="Z10">
        <v>1157.19</v>
      </c>
      <c r="AA10">
        <v>95.163399999999996</v>
      </c>
      <c r="AB10">
        <v>32.520200000000003</v>
      </c>
      <c r="AC10">
        <v>14.69282539572616</v>
      </c>
      <c r="AD10">
        <v>34.622734985136567</v>
      </c>
      <c r="AE10">
        <v>34.622734985136567</v>
      </c>
      <c r="AF10" t="s">
        <v>58</v>
      </c>
      <c r="AG10" t="b">
        <v>1</v>
      </c>
      <c r="AH10">
        <v>2.356438197054163</v>
      </c>
      <c r="AI10">
        <v>1156.8399999999999</v>
      </c>
      <c r="AJ10">
        <v>91.310100000000006</v>
      </c>
      <c r="AK10">
        <v>32.289299999999997</v>
      </c>
      <c r="AL10">
        <v>13.92541001139508</v>
      </c>
      <c r="AM10">
        <v>33.949740092787863</v>
      </c>
      <c r="AN10">
        <v>33.949740092787863</v>
      </c>
      <c r="AO10" t="s">
        <v>58</v>
      </c>
      <c r="AP10" t="b">
        <v>1</v>
      </c>
      <c r="AQ10">
        <v>2.4379705922487731</v>
      </c>
      <c r="AR10">
        <v>1157.19</v>
      </c>
      <c r="AS10">
        <v>34.622734985136567</v>
      </c>
      <c r="AT10">
        <v>2.4379705922487731</v>
      </c>
      <c r="AU10" s="5">
        <v>25.863183033897016</v>
      </c>
      <c r="AV10" s="5">
        <v>36.942458229140719</v>
      </c>
      <c r="AW10" s="5">
        <v>1.8211640324098335</v>
      </c>
      <c r="AX10" s="5">
        <v>2.6013146219294407</v>
      </c>
      <c r="AY10" t="s">
        <v>59</v>
      </c>
      <c r="AZ10" t="s">
        <v>60</v>
      </c>
      <c r="BA10" s="23">
        <f t="shared" si="0"/>
        <v>0</v>
      </c>
      <c r="BB10" s="23">
        <f>IF(AND(ISNUMBER(H10),Metadata!$H$5&gt;Metadata!$G$5),MAX(Metadata!$G$5-H10,0,H10-Metadata!$H$5)/(Metadata!$H$5-Metadata!$G$5),"Missing input")</f>
        <v>0</v>
      </c>
      <c r="BC10" s="23">
        <f>IF(AND(ISNUMBER(L10),Metadata!$H$8&gt;Metadata!$G$8),MAX(Metadata!$G$8-L10,0,L10-Metadata!$H$8)/(Metadata!$H$8-Metadata!$G$8),"Missing input")</f>
        <v>0</v>
      </c>
    </row>
    <row r="11" spans="1:55" x14ac:dyDescent="0.2">
      <c r="A11" t="s">
        <v>71</v>
      </c>
      <c r="B11" t="s">
        <v>53</v>
      </c>
      <c r="C11" t="s">
        <v>54</v>
      </c>
      <c r="D11" t="s">
        <v>55</v>
      </c>
      <c r="E11" t="s">
        <v>56</v>
      </c>
      <c r="F11">
        <v>10</v>
      </c>
      <c r="G11">
        <v>34.746337553007109</v>
      </c>
      <c r="H11">
        <v>23.7414613202046</v>
      </c>
      <c r="I11">
        <v>1.57</v>
      </c>
      <c r="J11">
        <v>1.5</v>
      </c>
      <c r="K11">
        <v>0.54</v>
      </c>
      <c r="L11">
        <v>0.25</v>
      </c>
      <c r="M11">
        <v>8</v>
      </c>
      <c r="N11">
        <v>125</v>
      </c>
      <c r="Q11">
        <v>0.53616514621265798</v>
      </c>
      <c r="R11">
        <v>2428507.8121004719</v>
      </c>
      <c r="S11">
        <v>-4.8497306909576383E-3</v>
      </c>
      <c r="T11">
        <v>1111.217336052197</v>
      </c>
      <c r="U11">
        <v>731.44834288856589</v>
      </c>
      <c r="V11">
        <v>245.84454337438001</v>
      </c>
      <c r="W11">
        <v>2.975247417937168</v>
      </c>
      <c r="X11" t="s">
        <v>57</v>
      </c>
      <c r="Z11">
        <v>685.07100000000003</v>
      </c>
      <c r="AA11">
        <v>95.163399999999996</v>
      </c>
      <c r="AB11">
        <v>44.0137</v>
      </c>
      <c r="AC11">
        <v>15.47756029354588</v>
      </c>
      <c r="AD11">
        <v>54.194583074816087</v>
      </c>
      <c r="AE11">
        <v>54.194583074816087</v>
      </c>
      <c r="AF11" t="s">
        <v>58</v>
      </c>
      <c r="AG11" t="b">
        <v>1</v>
      </c>
      <c r="AH11">
        <v>3.5014939077585212</v>
      </c>
      <c r="AI11">
        <v>679.572</v>
      </c>
      <c r="AJ11">
        <v>91.310100000000006</v>
      </c>
      <c r="AK11">
        <v>39.358900000000013</v>
      </c>
      <c r="AL11">
        <v>15.01849505443235</v>
      </c>
      <c r="AM11">
        <v>53.263618123791098</v>
      </c>
      <c r="AN11">
        <v>53.263618123791098</v>
      </c>
      <c r="AO11" t="s">
        <v>58</v>
      </c>
      <c r="AP11" t="b">
        <v>1</v>
      </c>
      <c r="AQ11">
        <v>3.546534984413876</v>
      </c>
      <c r="AR11">
        <v>685.07100000000003</v>
      </c>
      <c r="AS11">
        <v>54.194583074816087</v>
      </c>
      <c r="AT11">
        <v>3.546534984413876</v>
      </c>
      <c r="AU11" s="5">
        <v>40.483353556887614</v>
      </c>
      <c r="AV11" s="5">
        <v>57.825620140828761</v>
      </c>
      <c r="AW11" s="5">
        <v>2.6492616333571655</v>
      </c>
      <c r="AX11" s="5">
        <v>3.7841528283696055</v>
      </c>
      <c r="AY11" t="s">
        <v>59</v>
      </c>
      <c r="AZ11" t="s">
        <v>60</v>
      </c>
      <c r="BA11" s="23">
        <f t="shared" si="0"/>
        <v>0</v>
      </c>
      <c r="BB11" s="23">
        <f>IF(AND(ISNUMBER(H11),Metadata!$H$5&gt;Metadata!$G$5),MAX(Metadata!$G$5-H11,0,H11-Metadata!$H$5)/(Metadata!$H$5-Metadata!$G$5),"Missing input")</f>
        <v>0</v>
      </c>
      <c r="BC11" s="23">
        <f>IF(AND(ISNUMBER(L11),Metadata!$H$8&gt;Metadata!$G$8),MAX(Metadata!$G$8-L11,0,L11-Metadata!$H$8)/(Metadata!$H$8-Metadata!$G$8),"Missing input")</f>
        <v>0</v>
      </c>
    </row>
    <row r="12" spans="1:55" x14ac:dyDescent="0.2">
      <c r="A12" t="s">
        <v>72</v>
      </c>
      <c r="B12" t="s">
        <v>53</v>
      </c>
      <c r="C12" t="s">
        <v>54</v>
      </c>
      <c r="D12" t="s">
        <v>55</v>
      </c>
      <c r="E12" t="s">
        <v>56</v>
      </c>
      <c r="F12">
        <v>11</v>
      </c>
      <c r="G12">
        <v>24.502161634428251</v>
      </c>
      <c r="H12">
        <v>33.048591474592847</v>
      </c>
      <c r="I12">
        <v>1.57</v>
      </c>
      <c r="J12">
        <v>1.5</v>
      </c>
      <c r="K12">
        <v>0.54</v>
      </c>
      <c r="L12">
        <v>0.25</v>
      </c>
      <c r="M12">
        <v>8</v>
      </c>
      <c r="N12">
        <v>125</v>
      </c>
      <c r="Q12">
        <v>0.53616514621265798</v>
      </c>
      <c r="R12">
        <v>2383007.1153019848</v>
      </c>
      <c r="S12">
        <v>-5.4661473886256683E-3</v>
      </c>
      <c r="T12">
        <v>1134.971999997148</v>
      </c>
      <c r="U12">
        <v>684.38581388777777</v>
      </c>
      <c r="V12">
        <v>251.099999999369</v>
      </c>
      <c r="W12">
        <v>2.7255508318976411</v>
      </c>
      <c r="X12" t="s">
        <v>57</v>
      </c>
      <c r="Z12">
        <v>594.90599999999995</v>
      </c>
      <c r="AA12">
        <v>95.163399999999996</v>
      </c>
      <c r="AB12">
        <v>36.046199999999999</v>
      </c>
      <c r="AC12">
        <v>15.2235733463035</v>
      </c>
      <c r="AD12">
        <v>40.609287285974503</v>
      </c>
      <c r="AE12">
        <v>40.609287285974503</v>
      </c>
      <c r="AF12" t="s">
        <v>58</v>
      </c>
      <c r="AG12" t="b">
        <v>1</v>
      </c>
      <c r="AH12">
        <v>2.6675266287487629</v>
      </c>
      <c r="AI12">
        <v>590.42700000000002</v>
      </c>
      <c r="AJ12">
        <v>91.310100000000006</v>
      </c>
      <c r="AK12">
        <v>35.6967</v>
      </c>
      <c r="AL12">
        <v>14.58364602951511</v>
      </c>
      <c r="AM12">
        <v>39.912115111064097</v>
      </c>
      <c r="AN12">
        <v>39.912115111064097</v>
      </c>
      <c r="AO12" t="s">
        <v>58</v>
      </c>
      <c r="AP12" t="b">
        <v>1</v>
      </c>
      <c r="AQ12">
        <v>2.736772068540883</v>
      </c>
      <c r="AR12">
        <v>594.90599999999995</v>
      </c>
      <c r="AS12">
        <v>40.609287285974503</v>
      </c>
      <c r="AT12">
        <v>2.736772068540883</v>
      </c>
      <c r="AU12" s="5">
        <v>30.335137602622954</v>
      </c>
      <c r="AV12" s="5">
        <v>43.330109534134792</v>
      </c>
      <c r="AW12" s="5">
        <v>2.0443687352000395</v>
      </c>
      <c r="AX12" s="5">
        <v>2.9201357971331219</v>
      </c>
      <c r="AY12" t="s">
        <v>59</v>
      </c>
      <c r="AZ12" t="s">
        <v>60</v>
      </c>
      <c r="BA12" s="23">
        <f t="shared" si="0"/>
        <v>0</v>
      </c>
      <c r="BB12" s="23">
        <f>IF(AND(ISNUMBER(H12),Metadata!$H$5&gt;Metadata!$G$5),MAX(Metadata!$G$5-H12,0,H12-Metadata!$H$5)/(Metadata!$H$5-Metadata!$G$5),"Missing input")</f>
        <v>0</v>
      </c>
      <c r="BC12" s="23">
        <f>IF(AND(ISNUMBER(L12),Metadata!$H$8&gt;Metadata!$G$8),MAX(Metadata!$G$8-L12,0,L12-Metadata!$H$8)/(Metadata!$H$8-Metadata!$G$8),"Missing input")</f>
        <v>0</v>
      </c>
    </row>
    <row r="13" spans="1:55" x14ac:dyDescent="0.2">
      <c r="A13" t="s">
        <v>73</v>
      </c>
      <c r="B13" t="s">
        <v>53</v>
      </c>
      <c r="C13" t="s">
        <v>54</v>
      </c>
      <c r="D13" t="s">
        <v>55</v>
      </c>
      <c r="E13" t="s">
        <v>56</v>
      </c>
      <c r="F13">
        <v>12</v>
      </c>
      <c r="G13">
        <v>56.241153781572699</v>
      </c>
      <c r="H13">
        <v>14.78764467513273</v>
      </c>
      <c r="I13">
        <v>1.57</v>
      </c>
      <c r="J13">
        <v>1.5</v>
      </c>
      <c r="K13">
        <v>0.54</v>
      </c>
      <c r="L13">
        <v>0.25</v>
      </c>
      <c r="M13">
        <v>8</v>
      </c>
      <c r="N13">
        <v>125</v>
      </c>
      <c r="Q13">
        <v>0.53616514621265798</v>
      </c>
      <c r="R13">
        <v>2448743.9197241841</v>
      </c>
      <c r="S13">
        <v>-3.76931548715775E-3</v>
      </c>
      <c r="T13">
        <v>1060.8343060705299</v>
      </c>
      <c r="U13">
        <v>811.40111588676484</v>
      </c>
      <c r="V13">
        <v>234.69785532533859</v>
      </c>
      <c r="W13">
        <v>3.4572157242851631</v>
      </c>
      <c r="X13" t="s">
        <v>57</v>
      </c>
      <c r="Z13">
        <v>770.38</v>
      </c>
      <c r="AA13">
        <v>95.163399999999996</v>
      </c>
      <c r="AB13">
        <v>51.296399999999998</v>
      </c>
      <c r="AC13">
        <v>14.57559770580297</v>
      </c>
      <c r="AD13">
        <v>82.815586585396161</v>
      </c>
      <c r="AE13">
        <v>82.815586585396161</v>
      </c>
      <c r="AF13" t="s">
        <v>58</v>
      </c>
      <c r="AG13" t="b">
        <v>1</v>
      </c>
      <c r="AH13">
        <v>5.6817969497350278</v>
      </c>
      <c r="AI13">
        <v>765.95500000000004</v>
      </c>
      <c r="AJ13">
        <v>91.310100000000006</v>
      </c>
      <c r="AK13">
        <v>51.757599999999996</v>
      </c>
      <c r="AL13">
        <v>14.188555251381951</v>
      </c>
      <c r="AM13">
        <v>81.947691468038855</v>
      </c>
      <c r="AN13">
        <v>81.947691468038855</v>
      </c>
      <c r="AO13" t="s">
        <v>58</v>
      </c>
      <c r="AP13" t="b">
        <v>1</v>
      </c>
      <c r="AQ13">
        <v>5.7756191533353789</v>
      </c>
      <c r="AR13">
        <v>770.38</v>
      </c>
      <c r="AS13">
        <v>82.815586585396161</v>
      </c>
      <c r="AT13">
        <v>5.7756191533353789</v>
      </c>
      <c r="AU13" s="5">
        <v>61.863243179290933</v>
      </c>
      <c r="AV13" s="5">
        <v>88.364230886617705</v>
      </c>
      <c r="AW13" s="5">
        <v>4.3143875075415279</v>
      </c>
      <c r="AX13" s="5">
        <v>6.1625856366088492</v>
      </c>
      <c r="AY13" t="s">
        <v>59</v>
      </c>
      <c r="AZ13" t="s">
        <v>60</v>
      </c>
      <c r="BA13" s="23">
        <f t="shared" si="0"/>
        <v>0</v>
      </c>
      <c r="BB13" s="23">
        <f>IF(AND(ISNUMBER(H13),Metadata!$H$5&gt;Metadata!$G$5),MAX(Metadata!$G$5-H13,0,H13-Metadata!$H$5)/(Metadata!$H$5-Metadata!$G$5),"Missing input")</f>
        <v>0</v>
      </c>
      <c r="BC13" s="23">
        <f>IF(AND(ISNUMBER(L13),Metadata!$H$8&gt;Metadata!$G$8),MAX(Metadata!$G$8-L13,0,L13-Metadata!$H$8)/(Metadata!$H$8-Metadata!$G$8),"Missing input")</f>
        <v>0</v>
      </c>
    </row>
    <row r="14" spans="1:55" x14ac:dyDescent="0.2">
      <c r="A14" t="s">
        <v>74</v>
      </c>
      <c r="B14" t="s">
        <v>53</v>
      </c>
      <c r="C14" t="s">
        <v>54</v>
      </c>
      <c r="D14" t="s">
        <v>55</v>
      </c>
      <c r="E14" t="s">
        <v>56</v>
      </c>
      <c r="F14">
        <v>13</v>
      </c>
      <c r="G14">
        <v>49.119901382435643</v>
      </c>
      <c r="H14">
        <v>22.54933477691009</v>
      </c>
      <c r="I14">
        <v>1.57</v>
      </c>
      <c r="J14">
        <v>1.5</v>
      </c>
      <c r="K14">
        <v>0.54</v>
      </c>
      <c r="L14">
        <v>0.25</v>
      </c>
      <c r="M14">
        <v>8</v>
      </c>
      <c r="N14">
        <v>125</v>
      </c>
      <c r="Q14">
        <v>0.53616514621265798</v>
      </c>
      <c r="R14">
        <v>3276584.6264440492</v>
      </c>
      <c r="S14">
        <v>-4.7299668153996449E-3</v>
      </c>
      <c r="T14">
        <v>1412.968799359719</v>
      </c>
      <c r="U14">
        <v>786.94653369120795</v>
      </c>
      <c r="V14">
        <v>312.60371667250428</v>
      </c>
      <c r="W14">
        <v>2.5173934016774462</v>
      </c>
      <c r="X14" t="s">
        <v>57</v>
      </c>
      <c r="Z14">
        <v>852.654</v>
      </c>
      <c r="AA14">
        <v>95.163399999999996</v>
      </c>
      <c r="AB14">
        <v>44.910200000000003</v>
      </c>
      <c r="AC14">
        <v>15.15210892857143</v>
      </c>
      <c r="AD14">
        <v>57.026724020594649</v>
      </c>
      <c r="AE14">
        <v>57.026724020594649</v>
      </c>
      <c r="AF14" t="s">
        <v>58</v>
      </c>
      <c r="AG14" t="b">
        <v>1</v>
      </c>
      <c r="AH14">
        <v>3.763616291925064</v>
      </c>
      <c r="AI14">
        <v>847.75400000000002</v>
      </c>
      <c r="AJ14">
        <v>91.310100000000006</v>
      </c>
      <c r="AK14">
        <v>45.574300000000001</v>
      </c>
      <c r="AL14">
        <v>14.830516191317519</v>
      </c>
      <c r="AM14">
        <v>56.856432948092447</v>
      </c>
      <c r="AN14">
        <v>56.856432948092447</v>
      </c>
      <c r="AO14" t="s">
        <v>58</v>
      </c>
      <c r="AP14" t="b">
        <v>1</v>
      </c>
      <c r="AQ14">
        <v>3.8337460554056011</v>
      </c>
      <c r="AR14">
        <v>852.654</v>
      </c>
      <c r="AS14">
        <v>57.026724020594649</v>
      </c>
      <c r="AT14">
        <v>3.8337460554056011</v>
      </c>
      <c r="AU14" s="5">
        <v>42.5989628433842</v>
      </c>
      <c r="AV14" s="5">
        <v>60.84751452997449</v>
      </c>
      <c r="AW14" s="5">
        <v>2.8638083033879842</v>
      </c>
      <c r="AX14" s="5">
        <v>4.0906070411177762</v>
      </c>
      <c r="AY14" t="s">
        <v>59</v>
      </c>
      <c r="AZ14" t="s">
        <v>60</v>
      </c>
      <c r="BA14" s="23">
        <f t="shared" si="0"/>
        <v>0</v>
      </c>
      <c r="BB14" s="23">
        <f>IF(AND(ISNUMBER(H14),Metadata!$H$5&gt;Metadata!$G$5),MAX(Metadata!$G$5-H14,0,H14-Metadata!$H$5)/(Metadata!$H$5-Metadata!$G$5),"Missing input")</f>
        <v>0</v>
      </c>
      <c r="BC14" s="23">
        <f>IF(AND(ISNUMBER(L14),Metadata!$H$8&gt;Metadata!$G$8),MAX(Metadata!$G$8-L14,0,L14-Metadata!$H$8)/(Metadata!$H$8-Metadata!$G$8),"Missing input")</f>
        <v>0</v>
      </c>
    </row>
    <row r="15" spans="1:55" x14ac:dyDescent="0.2">
      <c r="A15" t="s">
        <v>75</v>
      </c>
      <c r="B15" t="s">
        <v>53</v>
      </c>
      <c r="C15" t="s">
        <v>54</v>
      </c>
      <c r="D15" t="s">
        <v>55</v>
      </c>
      <c r="E15" t="s">
        <v>56</v>
      </c>
      <c r="F15">
        <v>14</v>
      </c>
      <c r="G15">
        <v>37.958866376576751</v>
      </c>
      <c r="H15">
        <v>9.8264864335603903</v>
      </c>
      <c r="I15">
        <v>1.57</v>
      </c>
      <c r="J15">
        <v>1.5</v>
      </c>
      <c r="K15">
        <v>0.54</v>
      </c>
      <c r="L15">
        <v>0.25</v>
      </c>
      <c r="M15">
        <v>8</v>
      </c>
      <c r="N15">
        <v>125</v>
      </c>
      <c r="Q15">
        <v>0.53616514621265798</v>
      </c>
      <c r="R15">
        <v>1072728.181448289</v>
      </c>
      <c r="S15">
        <v>-3.0721352164294392E-3</v>
      </c>
      <c r="T15">
        <v>610.81355109044614</v>
      </c>
      <c r="U15">
        <v>744.72430032575369</v>
      </c>
      <c r="V15">
        <v>135.13574139169171</v>
      </c>
      <c r="W15">
        <v>5.5109350987106103</v>
      </c>
      <c r="X15" t="s">
        <v>57</v>
      </c>
      <c r="Z15">
        <v>512.54999999999995</v>
      </c>
      <c r="AA15">
        <v>95.1648</v>
      </c>
      <c r="AB15">
        <v>63.712200000000003</v>
      </c>
      <c r="AC15">
        <v>15.375727062196731</v>
      </c>
      <c r="AE15">
        <v>95.1648</v>
      </c>
      <c r="AF15" t="s">
        <v>62</v>
      </c>
      <c r="AG15" t="b">
        <v>0</v>
      </c>
      <c r="AH15">
        <v>6.1892878050609594</v>
      </c>
      <c r="AI15">
        <v>509.51600000000002</v>
      </c>
      <c r="AJ15">
        <v>91.308700000000002</v>
      </c>
      <c r="AK15">
        <v>63.521900000000009</v>
      </c>
      <c r="AL15">
        <v>14.947768091762249</v>
      </c>
      <c r="AM15">
        <v>78.520592026339415</v>
      </c>
      <c r="AN15">
        <v>78.520592026339415</v>
      </c>
      <c r="AO15" t="s">
        <v>58</v>
      </c>
      <c r="AP15" t="b">
        <v>1</v>
      </c>
      <c r="AQ15">
        <v>5.2529977414897333</v>
      </c>
      <c r="AR15">
        <v>512.54999999999995</v>
      </c>
      <c r="AS15">
        <v>95.1648</v>
      </c>
      <c r="AT15">
        <v>6.1892878050609594</v>
      </c>
      <c r="AU15" s="5">
        <v>71.088105600000006</v>
      </c>
      <c r="AV15" s="5">
        <v>101.54084159999999</v>
      </c>
      <c r="AW15" s="5">
        <v>4.6233979903805364</v>
      </c>
      <c r="AX15" s="5">
        <v>6.6039700880000431</v>
      </c>
      <c r="AY15" t="s">
        <v>59</v>
      </c>
      <c r="AZ15" t="s">
        <v>60</v>
      </c>
      <c r="BA15" s="23">
        <f t="shared" si="0"/>
        <v>0</v>
      </c>
      <c r="BB15" s="23">
        <f>IF(AND(ISNUMBER(H15),Metadata!$H$5&gt;Metadata!$G$5),MAX(Metadata!$G$5-H15,0,H15-Metadata!$H$5)/(Metadata!$H$5-Metadata!$G$5),"Missing input")</f>
        <v>0</v>
      </c>
      <c r="BC15" s="23">
        <f>IF(AND(ISNUMBER(L15),Metadata!$H$8&gt;Metadata!$G$8),MAX(Metadata!$G$8-L15,0,L15-Metadata!$H$8)/(Metadata!$H$8-Metadata!$G$8),"Missing input")</f>
        <v>0</v>
      </c>
    </row>
    <row r="16" spans="1:55" x14ac:dyDescent="0.2">
      <c r="A16" t="s">
        <v>76</v>
      </c>
      <c r="B16" t="s">
        <v>53</v>
      </c>
      <c r="C16" t="s">
        <v>54</v>
      </c>
      <c r="D16" t="s">
        <v>55</v>
      </c>
      <c r="E16" t="s">
        <v>56</v>
      </c>
      <c r="F16">
        <v>15</v>
      </c>
      <c r="G16">
        <v>27.308053040943211</v>
      </c>
      <c r="H16">
        <v>5.2772178758296739</v>
      </c>
      <c r="I16">
        <v>1.57</v>
      </c>
      <c r="J16">
        <v>1.5</v>
      </c>
      <c r="K16">
        <v>0.54</v>
      </c>
      <c r="L16">
        <v>0.25</v>
      </c>
      <c r="M16">
        <v>8</v>
      </c>
      <c r="N16">
        <v>125</v>
      </c>
      <c r="Q16">
        <v>0.53616514621265798</v>
      </c>
      <c r="R16">
        <v>386052.96198531118</v>
      </c>
      <c r="S16">
        <v>-2.4589482027185671E-3</v>
      </c>
      <c r="T16">
        <v>428.52672237905682</v>
      </c>
      <c r="U16">
        <v>698.12364149884274</v>
      </c>
      <c r="V16">
        <v>94.806796986516986</v>
      </c>
      <c r="W16">
        <v>7.3636454736270318</v>
      </c>
      <c r="X16" t="s">
        <v>57</v>
      </c>
      <c r="Z16">
        <v>372.88400000000001</v>
      </c>
      <c r="AA16">
        <v>95.133099999999999</v>
      </c>
      <c r="AB16">
        <v>51.296399999999998</v>
      </c>
      <c r="AC16">
        <v>16.37313271028038</v>
      </c>
      <c r="AE16">
        <v>95.133099999999999</v>
      </c>
      <c r="AF16" t="s">
        <v>62</v>
      </c>
      <c r="AG16" t="b">
        <v>0</v>
      </c>
      <c r="AH16">
        <v>5.8103175295383602</v>
      </c>
      <c r="AI16">
        <v>371.56099999999998</v>
      </c>
      <c r="AJ16">
        <v>91.340299999999999</v>
      </c>
      <c r="AK16">
        <v>32.289299999999997</v>
      </c>
      <c r="AL16">
        <v>15.939288983220139</v>
      </c>
      <c r="AM16">
        <v>77.695292371951211</v>
      </c>
      <c r="AN16">
        <v>77.695292371951211</v>
      </c>
      <c r="AO16" t="s">
        <v>58</v>
      </c>
      <c r="AP16" t="b">
        <v>1</v>
      </c>
      <c r="AQ16">
        <v>4.8744515802269381</v>
      </c>
      <c r="AR16">
        <v>372.88400000000001</v>
      </c>
      <c r="AS16">
        <v>95.133099999999999</v>
      </c>
      <c r="AT16">
        <v>5.8103175295383602</v>
      </c>
      <c r="AU16" s="5">
        <v>71.064425700000001</v>
      </c>
      <c r="AV16" s="5">
        <v>101.50701769999999</v>
      </c>
      <c r="AW16" s="5">
        <v>4.3403071945651552</v>
      </c>
      <c r="AX16" s="5">
        <v>6.19960880401743</v>
      </c>
      <c r="AY16" t="s">
        <v>59</v>
      </c>
      <c r="AZ16" t="s">
        <v>60</v>
      </c>
      <c r="BA16" s="23">
        <f t="shared" si="0"/>
        <v>0</v>
      </c>
      <c r="BB16" s="23">
        <f>IF(AND(ISNUMBER(H16),Metadata!$H$5&gt;Metadata!$G$5),MAX(Metadata!$G$5-H16,0,H16-Metadata!$H$5)/(Metadata!$H$5-Metadata!$G$5),"Missing input")</f>
        <v>0</v>
      </c>
      <c r="BC16" s="23">
        <f>IF(AND(ISNUMBER(L16),Metadata!$H$8&gt;Metadata!$G$8),MAX(Metadata!$G$8-L16,0,L16-Metadata!$H$8)/(Metadata!$H$8-Metadata!$G$8),"Missing input")</f>
        <v>0</v>
      </c>
    </row>
    <row r="17" spans="1:55" x14ac:dyDescent="0.2">
      <c r="A17" t="s">
        <v>77</v>
      </c>
      <c r="B17" t="s">
        <v>53</v>
      </c>
      <c r="C17" t="s">
        <v>54</v>
      </c>
      <c r="D17" t="s">
        <v>55</v>
      </c>
      <c r="E17" t="s">
        <v>56</v>
      </c>
      <c r="F17">
        <v>16</v>
      </c>
      <c r="G17">
        <v>31.1252119640606</v>
      </c>
      <c r="H17">
        <v>39.5069074866867</v>
      </c>
      <c r="I17">
        <v>1.57</v>
      </c>
      <c r="J17">
        <v>1.5</v>
      </c>
      <c r="K17">
        <v>0.54</v>
      </c>
      <c r="L17">
        <v>0.25</v>
      </c>
      <c r="M17">
        <v>8</v>
      </c>
      <c r="N17">
        <v>125</v>
      </c>
      <c r="Q17">
        <v>0.53616514621265798</v>
      </c>
      <c r="R17">
        <v>3642703.933702969</v>
      </c>
      <c r="S17">
        <v>-5.5852405827418244E-3</v>
      </c>
      <c r="T17">
        <v>1657.5346780090949</v>
      </c>
      <c r="U17">
        <v>715.72465594585606</v>
      </c>
      <c r="V17">
        <v>366.71121194891492</v>
      </c>
      <c r="W17">
        <v>1.9517392231944111</v>
      </c>
      <c r="X17" t="s">
        <v>57</v>
      </c>
      <c r="Z17">
        <v>710.03099999999995</v>
      </c>
      <c r="AA17">
        <v>95.163399999999996</v>
      </c>
      <c r="AB17">
        <v>31.260899999999999</v>
      </c>
      <c r="AC17">
        <v>13.989532658022689</v>
      </c>
      <c r="AD17">
        <v>34.212120067793329</v>
      </c>
      <c r="AE17">
        <v>34.212120067793329</v>
      </c>
      <c r="AF17" t="s">
        <v>58</v>
      </c>
      <c r="AG17" t="b">
        <v>1</v>
      </c>
      <c r="AH17">
        <v>2.445551320699296</v>
      </c>
      <c r="AI17">
        <v>715.68100000000004</v>
      </c>
      <c r="AJ17">
        <v>91.310100000000006</v>
      </c>
      <c r="AK17">
        <v>32.074900000000007</v>
      </c>
      <c r="AL17">
        <v>13.56763775081345</v>
      </c>
      <c r="AM17">
        <v>33.496747702669722</v>
      </c>
      <c r="AN17">
        <v>33.496747702669722</v>
      </c>
      <c r="AO17" t="s">
        <v>58</v>
      </c>
      <c r="AP17" t="b">
        <v>1</v>
      </c>
      <c r="AQ17">
        <v>2.4688710236725928</v>
      </c>
      <c r="AR17">
        <v>715.68100000000004</v>
      </c>
      <c r="AS17">
        <v>34.212120067793329</v>
      </c>
      <c r="AT17">
        <v>2.4688710236725928</v>
      </c>
      <c r="AU17" s="5">
        <v>25.556453690641618</v>
      </c>
      <c r="AV17" s="5">
        <v>36.504332112335483</v>
      </c>
      <c r="AW17" s="5">
        <v>1.8442466546834269</v>
      </c>
      <c r="AX17" s="5">
        <v>2.6342853822586565</v>
      </c>
      <c r="AY17" t="s">
        <v>59</v>
      </c>
      <c r="AZ17" t="s">
        <v>60</v>
      </c>
      <c r="BA17" s="23">
        <f t="shared" si="0"/>
        <v>0</v>
      </c>
      <c r="BB17" s="23">
        <f>IF(AND(ISNUMBER(H17),Metadata!$H$5&gt;Metadata!$G$5),MAX(Metadata!$G$5-H17,0,H17-Metadata!$H$5)/(Metadata!$H$5-Metadata!$G$5),"Missing input")</f>
        <v>0</v>
      </c>
      <c r="BC17" s="23">
        <f>IF(AND(ISNUMBER(L17),Metadata!$H$8&gt;Metadata!$G$8),MAX(Metadata!$G$8-L17,0,L17-Metadata!$H$8)/(Metadata!$H$8-Metadata!$G$8),"Missing input")</f>
        <v>0</v>
      </c>
    </row>
    <row r="18" spans="1:55" x14ac:dyDescent="0.2">
      <c r="A18" t="s">
        <v>78</v>
      </c>
      <c r="B18" t="s">
        <v>53</v>
      </c>
      <c r="C18" t="s">
        <v>54</v>
      </c>
      <c r="D18" t="s">
        <v>55</v>
      </c>
      <c r="E18" t="s">
        <v>56</v>
      </c>
      <c r="F18">
        <v>17</v>
      </c>
      <c r="G18">
        <v>46.390186033042063</v>
      </c>
      <c r="H18">
        <v>16.21387510983789</v>
      </c>
      <c r="I18">
        <v>1.57</v>
      </c>
      <c r="J18">
        <v>1.5</v>
      </c>
      <c r="K18">
        <v>0.54</v>
      </c>
      <c r="L18">
        <v>0.25</v>
      </c>
      <c r="M18">
        <v>8</v>
      </c>
      <c r="N18">
        <v>125</v>
      </c>
      <c r="Q18">
        <v>0.53616514621265798</v>
      </c>
      <c r="R18">
        <v>2210215.3729856689</v>
      </c>
      <c r="S18">
        <v>-3.9638908043996323E-3</v>
      </c>
      <c r="T18">
        <v>992.19235058261199</v>
      </c>
      <c r="U18">
        <v>777.10568399344538</v>
      </c>
      <c r="V18">
        <v>219.5115819873036</v>
      </c>
      <c r="W18">
        <v>3.5401580042295571</v>
      </c>
      <c r="X18" t="s">
        <v>57</v>
      </c>
      <c r="Z18">
        <v>708.90300000000002</v>
      </c>
      <c r="AA18">
        <v>95.163399999999996</v>
      </c>
      <c r="AB18">
        <v>51.296399999999998</v>
      </c>
      <c r="AC18">
        <v>14.955036219376391</v>
      </c>
      <c r="AD18">
        <v>77.933542388771102</v>
      </c>
      <c r="AE18">
        <v>77.933542388771102</v>
      </c>
      <c r="AF18" t="s">
        <v>58</v>
      </c>
      <c r="AG18" t="b">
        <v>1</v>
      </c>
      <c r="AH18">
        <v>5.2111904809563114</v>
      </c>
      <c r="AI18">
        <v>704.42499999999995</v>
      </c>
      <c r="AJ18">
        <v>91.310100000000006</v>
      </c>
      <c r="AK18">
        <v>51.757599999999996</v>
      </c>
      <c r="AL18">
        <v>14.5207588235294</v>
      </c>
      <c r="AM18">
        <v>78.463474940275987</v>
      </c>
      <c r="AN18">
        <v>78.463474940275987</v>
      </c>
      <c r="AO18" t="s">
        <v>58</v>
      </c>
      <c r="AP18" t="b">
        <v>1</v>
      </c>
      <c r="AQ18">
        <v>5.4035381961674034</v>
      </c>
      <c r="AR18">
        <v>708.90300000000002</v>
      </c>
      <c r="AS18">
        <v>78.463474940275987</v>
      </c>
      <c r="AT18">
        <v>5.4035381961674034</v>
      </c>
      <c r="AU18" s="5">
        <v>58.612215780386158</v>
      </c>
      <c r="AV18" s="5">
        <v>83.720527761274468</v>
      </c>
      <c r="AW18" s="5">
        <v>4.0364430325370506</v>
      </c>
      <c r="AX18" s="5">
        <v>5.765575255310619</v>
      </c>
      <c r="AY18" t="s">
        <v>59</v>
      </c>
      <c r="AZ18" t="s">
        <v>60</v>
      </c>
      <c r="BA18" s="23">
        <f t="shared" si="0"/>
        <v>0</v>
      </c>
      <c r="BB18" s="23">
        <f>IF(AND(ISNUMBER(H18),Metadata!$H$5&gt;Metadata!$G$5),MAX(Metadata!$G$5-H18,0,H18-Metadata!$H$5)/(Metadata!$H$5-Metadata!$G$5),"Missing input")</f>
        <v>0</v>
      </c>
      <c r="BC18" s="23">
        <f>IF(AND(ISNUMBER(L18),Metadata!$H$8&gt;Metadata!$G$8),MAX(Metadata!$G$8-L18,0,L18-Metadata!$H$8)/(Metadata!$H$8-Metadata!$G$8),"Missing input")</f>
        <v>0</v>
      </c>
    </row>
    <row r="19" spans="1:55" x14ac:dyDescent="0.2">
      <c r="A19" t="s">
        <v>79</v>
      </c>
      <c r="B19" t="s">
        <v>53</v>
      </c>
      <c r="C19" t="s">
        <v>54</v>
      </c>
      <c r="D19" t="s">
        <v>55</v>
      </c>
      <c r="E19" t="s">
        <v>56</v>
      </c>
      <c r="F19">
        <v>18</v>
      </c>
      <c r="G19">
        <v>54.165408264435399</v>
      </c>
      <c r="H19">
        <v>18.25275816413232</v>
      </c>
      <c r="I19">
        <v>1.57</v>
      </c>
      <c r="J19">
        <v>1.5</v>
      </c>
      <c r="K19">
        <v>0.54</v>
      </c>
      <c r="L19">
        <v>0.25</v>
      </c>
      <c r="M19">
        <v>8</v>
      </c>
      <c r="N19">
        <v>125</v>
      </c>
      <c r="Q19">
        <v>0.53616514621265798</v>
      </c>
      <c r="R19">
        <v>2919725.6187367002</v>
      </c>
      <c r="S19">
        <v>-4.2307787084478049E-3</v>
      </c>
      <c r="T19">
        <v>1250.244632367107</v>
      </c>
      <c r="U19">
        <v>804.44140245145684</v>
      </c>
      <c r="V19">
        <v>276.6027947714839</v>
      </c>
      <c r="W19">
        <v>2.908290941586646</v>
      </c>
      <c r="X19" t="s">
        <v>57</v>
      </c>
      <c r="Z19">
        <v>832.37900000000002</v>
      </c>
      <c r="AA19">
        <v>95.163399999999996</v>
      </c>
      <c r="AB19">
        <v>51.296399999999998</v>
      </c>
      <c r="AC19">
        <v>14.88452637052564</v>
      </c>
      <c r="AD19">
        <v>70.353317570822881</v>
      </c>
      <c r="AE19">
        <v>70.353317570822881</v>
      </c>
      <c r="AF19" t="s">
        <v>58</v>
      </c>
      <c r="AG19" t="b">
        <v>1</v>
      </c>
      <c r="AH19">
        <v>4.7266077414553562</v>
      </c>
      <c r="AI19">
        <v>828.08</v>
      </c>
      <c r="AJ19">
        <v>91.310100000000006</v>
      </c>
      <c r="AK19">
        <v>51.414000000000001</v>
      </c>
      <c r="AL19">
        <v>14.60300517848165</v>
      </c>
      <c r="AM19">
        <v>70.353655106105577</v>
      </c>
      <c r="AN19">
        <v>70.353655106105577</v>
      </c>
      <c r="AO19" t="s">
        <v>58</v>
      </c>
      <c r="AP19" t="b">
        <v>1</v>
      </c>
      <c r="AQ19">
        <v>4.8177518425985113</v>
      </c>
      <c r="AR19">
        <v>832.37900000000002</v>
      </c>
      <c r="AS19">
        <v>70.353655106105577</v>
      </c>
      <c r="AT19">
        <v>4.8177518425985113</v>
      </c>
      <c r="AU19" s="5">
        <v>52.554180364260866</v>
      </c>
      <c r="AV19" s="5">
        <v>75.067349998214652</v>
      </c>
      <c r="AW19" s="5">
        <v>3.5988606264210881</v>
      </c>
      <c r="AX19" s="5">
        <v>5.1405412160526112</v>
      </c>
      <c r="AY19" t="s">
        <v>59</v>
      </c>
      <c r="AZ19" t="s">
        <v>60</v>
      </c>
      <c r="BA19" s="23">
        <f t="shared" si="0"/>
        <v>0</v>
      </c>
      <c r="BB19" s="23">
        <f>IF(AND(ISNUMBER(H19),Metadata!$H$5&gt;Metadata!$G$5),MAX(Metadata!$G$5-H19,0,H19-Metadata!$H$5)/(Metadata!$H$5-Metadata!$G$5),"Missing input")</f>
        <v>0</v>
      </c>
      <c r="BC19" s="23">
        <f>IF(AND(ISNUMBER(L19),Metadata!$H$8&gt;Metadata!$G$8),MAX(Metadata!$G$8-L19,0,L19-Metadata!$H$8)/(Metadata!$H$8-Metadata!$G$8),"Missing input")</f>
        <v>0</v>
      </c>
    </row>
    <row r="20" spans="1:55" x14ac:dyDescent="0.2">
      <c r="A20" t="s">
        <v>80</v>
      </c>
      <c r="B20" t="s">
        <v>53</v>
      </c>
      <c r="C20" t="s">
        <v>54</v>
      </c>
      <c r="D20" t="s">
        <v>55</v>
      </c>
      <c r="E20" t="s">
        <v>56</v>
      </c>
      <c r="F20">
        <v>19</v>
      </c>
      <c r="G20">
        <v>21.707483118551171</v>
      </c>
      <c r="H20">
        <v>43.497365085878002</v>
      </c>
      <c r="I20">
        <v>1.57</v>
      </c>
      <c r="J20">
        <v>1.5</v>
      </c>
      <c r="K20">
        <v>0.54</v>
      </c>
      <c r="L20">
        <v>0.25</v>
      </c>
      <c r="M20">
        <v>8</v>
      </c>
      <c r="N20">
        <v>125</v>
      </c>
      <c r="Q20">
        <v>0.53616514621265798</v>
      </c>
      <c r="R20">
        <v>2786376.2799094608</v>
      </c>
      <c r="S20">
        <v>-5.5552280633897012E-3</v>
      </c>
      <c r="T20">
        <v>1327.844178866673</v>
      </c>
      <c r="U20">
        <v>669.89609780516332</v>
      </c>
      <c r="V20">
        <v>293.77083603244972</v>
      </c>
      <c r="W20">
        <v>2.2803356073479231</v>
      </c>
      <c r="X20" t="s">
        <v>57</v>
      </c>
      <c r="Z20">
        <v>562.45899999999995</v>
      </c>
      <c r="AA20">
        <v>95.163399999999996</v>
      </c>
      <c r="AB20">
        <v>29.498000000000001</v>
      </c>
      <c r="AC20">
        <v>13.845727346570399</v>
      </c>
      <c r="AD20">
        <v>32.582867941667587</v>
      </c>
      <c r="AE20">
        <v>32.582867941667587</v>
      </c>
      <c r="AF20" t="s">
        <v>58</v>
      </c>
      <c r="AG20" t="b">
        <v>1</v>
      </c>
      <c r="AH20">
        <v>2.3532796165987202</v>
      </c>
      <c r="AI20">
        <v>568.92399999999998</v>
      </c>
      <c r="AJ20">
        <v>91.310100000000006</v>
      </c>
      <c r="AK20">
        <v>30.5745</v>
      </c>
      <c r="AL20">
        <v>13.425343478260871</v>
      </c>
      <c r="AM20">
        <v>32.294115672862453</v>
      </c>
      <c r="AN20">
        <v>32.294115672862453</v>
      </c>
      <c r="AO20" t="s">
        <v>58</v>
      </c>
      <c r="AP20" t="b">
        <v>1</v>
      </c>
      <c r="AQ20">
        <v>2.4054591769033729</v>
      </c>
      <c r="AR20">
        <v>568.92399999999998</v>
      </c>
      <c r="AS20">
        <v>32.582867941667587</v>
      </c>
      <c r="AT20">
        <v>2.4054591769033729</v>
      </c>
      <c r="AU20" s="5">
        <v>24.339402352425687</v>
      </c>
      <c r="AV20" s="5">
        <v>34.765920093759313</v>
      </c>
      <c r="AW20" s="5">
        <v>1.7968780051468196</v>
      </c>
      <c r="AX20" s="5">
        <v>2.5666249417558986</v>
      </c>
      <c r="AY20" t="s">
        <v>64</v>
      </c>
      <c r="AZ20" t="s">
        <v>7</v>
      </c>
      <c r="BA20" s="23">
        <f t="shared" si="0"/>
        <v>9.4596678167087334E-2</v>
      </c>
      <c r="BB20" s="23">
        <f>IF(AND(ISNUMBER(H20),Metadata!$H$5&gt;Metadata!$G$5),MAX(Metadata!$G$5-H20,0,H20-Metadata!$H$5)/(Metadata!$H$5-Metadata!$G$5),"Missing input")</f>
        <v>9.4596678167087334E-2</v>
      </c>
      <c r="BC20" s="23">
        <f>IF(AND(ISNUMBER(L20),Metadata!$H$8&gt;Metadata!$G$8),MAX(Metadata!$G$8-L20,0,L20-Metadata!$H$8)/(Metadata!$H$8-Metadata!$G$8),"Missing input")</f>
        <v>0</v>
      </c>
    </row>
    <row r="21" spans="1:55" x14ac:dyDescent="0.2">
      <c r="A21" t="s">
        <v>81</v>
      </c>
      <c r="B21" t="s">
        <v>53</v>
      </c>
      <c r="C21" t="s">
        <v>54</v>
      </c>
      <c r="D21" t="s">
        <v>55</v>
      </c>
      <c r="E21" t="s">
        <v>56</v>
      </c>
      <c r="F21">
        <v>20</v>
      </c>
      <c r="G21">
        <v>53.035991243371583</v>
      </c>
      <c r="H21">
        <v>30.34654288470276</v>
      </c>
      <c r="I21">
        <v>1.57</v>
      </c>
      <c r="J21">
        <v>1.5</v>
      </c>
      <c r="K21">
        <v>0.54</v>
      </c>
      <c r="L21">
        <v>0.25</v>
      </c>
      <c r="M21">
        <v>8</v>
      </c>
      <c r="N21">
        <v>125</v>
      </c>
      <c r="Q21">
        <v>0.53616514621265798</v>
      </c>
      <c r="R21">
        <v>4782098.2730990862</v>
      </c>
      <c r="S21">
        <v>-5.3451342647415868E-3</v>
      </c>
      <c r="T21">
        <v>2064.392118408005</v>
      </c>
      <c r="U21">
        <v>800.59853302729891</v>
      </c>
      <c r="V21">
        <v>456.72392000177121</v>
      </c>
      <c r="W21">
        <v>1.7529157067669989</v>
      </c>
      <c r="X21" t="s">
        <v>57</v>
      </c>
      <c r="Z21">
        <v>1003.94</v>
      </c>
      <c r="AA21">
        <v>95.163399999999996</v>
      </c>
      <c r="AB21">
        <v>37.809100000000001</v>
      </c>
      <c r="AC21">
        <v>15.06963493360572</v>
      </c>
      <c r="AD21">
        <v>43.225377256723156</v>
      </c>
      <c r="AE21">
        <v>43.225377256723156</v>
      </c>
      <c r="AF21" t="s">
        <v>58</v>
      </c>
      <c r="AG21" t="b">
        <v>1</v>
      </c>
      <c r="AH21">
        <v>2.8683758728839091</v>
      </c>
      <c r="AI21">
        <v>1002.88</v>
      </c>
      <c r="AJ21">
        <v>91.310100000000006</v>
      </c>
      <c r="AK21">
        <v>38.051000000000002</v>
      </c>
      <c r="AL21">
        <v>14.649799146011251</v>
      </c>
      <c r="AM21">
        <v>41.575223395344743</v>
      </c>
      <c r="AN21">
        <v>41.575223395344743</v>
      </c>
      <c r="AO21" t="s">
        <v>58</v>
      </c>
      <c r="AP21" t="b">
        <v>1</v>
      </c>
      <c r="AQ21">
        <v>2.8379381164870492</v>
      </c>
      <c r="AR21">
        <v>1003.94</v>
      </c>
      <c r="AS21">
        <v>43.225377256723156</v>
      </c>
      <c r="AT21">
        <v>2.8683758728839091</v>
      </c>
      <c r="AU21" s="5">
        <v>32.289356810772198</v>
      </c>
      <c r="AV21" s="5">
        <v>46.121477532923606</v>
      </c>
      <c r="AW21" s="5">
        <v>2.1426767770442798</v>
      </c>
      <c r="AX21" s="5">
        <v>3.0605570563671307</v>
      </c>
      <c r="AY21" t="s">
        <v>59</v>
      </c>
      <c r="AZ21" t="s">
        <v>60</v>
      </c>
      <c r="BA21" s="23">
        <f t="shared" si="0"/>
        <v>0</v>
      </c>
      <c r="BB21" s="23">
        <f>IF(AND(ISNUMBER(H21),Metadata!$H$5&gt;Metadata!$G$5),MAX(Metadata!$G$5-H21,0,H21-Metadata!$H$5)/(Metadata!$H$5-Metadata!$G$5),"Missing input")</f>
        <v>0</v>
      </c>
      <c r="BC21" s="23">
        <f>IF(AND(ISNUMBER(L21),Metadata!$H$8&gt;Metadata!$G$8),MAX(Metadata!$G$8-L21,0,L21-Metadata!$H$8)/(Metadata!$H$8-Metadata!$G$8),"Missing input")</f>
        <v>0</v>
      </c>
    </row>
    <row r="22" spans="1:55" x14ac:dyDescent="0.2">
      <c r="A22" t="s">
        <v>82</v>
      </c>
      <c r="B22" t="s">
        <v>83</v>
      </c>
      <c r="C22" t="s">
        <v>84</v>
      </c>
      <c r="D22" t="s">
        <v>55</v>
      </c>
      <c r="E22" t="s">
        <v>56</v>
      </c>
      <c r="F22">
        <v>1</v>
      </c>
      <c r="G22">
        <v>22.11413992487228</v>
      </c>
      <c r="H22">
        <v>28.832065765515338</v>
      </c>
      <c r="I22">
        <v>1.57</v>
      </c>
      <c r="J22">
        <v>1.5</v>
      </c>
      <c r="K22">
        <v>0.27</v>
      </c>
      <c r="L22">
        <v>0.18</v>
      </c>
      <c r="M22">
        <v>8</v>
      </c>
      <c r="N22">
        <v>250</v>
      </c>
      <c r="Q22">
        <v>0.26808257310632899</v>
      </c>
      <c r="R22">
        <v>1866510.334985178</v>
      </c>
      <c r="S22">
        <v>-4.1993982103975839E-3</v>
      </c>
      <c r="T22">
        <v>931.93139645531812</v>
      </c>
      <c r="U22">
        <v>549.48332366243187</v>
      </c>
      <c r="V22">
        <v>206.1795124901146</v>
      </c>
      <c r="W22">
        <v>2.6650723780752812</v>
      </c>
      <c r="X22" t="s">
        <v>57</v>
      </c>
      <c r="Z22">
        <v>509.85500000000002</v>
      </c>
      <c r="AA22">
        <v>95.163399999999996</v>
      </c>
      <c r="AB22">
        <v>36.549900000000001</v>
      </c>
      <c r="AC22">
        <v>13.66669185159501</v>
      </c>
      <c r="AD22">
        <v>42.139914942863079</v>
      </c>
      <c r="AE22">
        <v>42.139914942863079</v>
      </c>
      <c r="AF22" t="s">
        <v>58</v>
      </c>
      <c r="AG22" t="b">
        <v>1</v>
      </c>
      <c r="AH22">
        <v>3.0834027283599741</v>
      </c>
      <c r="AI22">
        <v>507.41699999999997</v>
      </c>
      <c r="AJ22">
        <v>91.310100000000006</v>
      </c>
      <c r="AK22">
        <v>35.958300000000001</v>
      </c>
      <c r="AL22">
        <v>13.185077355823591</v>
      </c>
      <c r="AM22">
        <v>40.049240742423777</v>
      </c>
      <c r="AN22">
        <v>40.049240742423777</v>
      </c>
      <c r="AO22" t="s">
        <v>58</v>
      </c>
      <c r="AP22" t="b">
        <v>1</v>
      </c>
      <c r="AQ22">
        <v>3.0374672564764889</v>
      </c>
      <c r="AR22">
        <v>509.85500000000002</v>
      </c>
      <c r="AS22">
        <v>42.139914942863079</v>
      </c>
      <c r="AT22">
        <v>3.0834027283599741</v>
      </c>
      <c r="AU22" s="5">
        <v>31.478516462318719</v>
      </c>
      <c r="AV22" s="5">
        <v>44.963289244034904</v>
      </c>
      <c r="AW22" s="5">
        <v>2.3033018380849009</v>
      </c>
      <c r="AX22" s="5">
        <v>3.2899907111600921</v>
      </c>
      <c r="AY22" t="s">
        <v>59</v>
      </c>
      <c r="AZ22" t="s">
        <v>60</v>
      </c>
      <c r="BA22" s="23">
        <f t="shared" si="0"/>
        <v>0</v>
      </c>
      <c r="BB22" s="23">
        <f>IF(AND(ISNUMBER(H22),Metadata!$H$5&gt;Metadata!$G$5),MAX(Metadata!$G$5-H22,0,H22-Metadata!$H$5)/(Metadata!$H$5-Metadata!$G$5),"Missing input")</f>
        <v>0</v>
      </c>
      <c r="BC22" s="23">
        <f>IF(AND(ISNUMBER(L22),Metadata!$H$8&gt;Metadata!$G$8),MAX(Metadata!$G$8-L22,0,L22-Metadata!$H$8)/(Metadata!$H$8-Metadata!$G$8),"Missing input")</f>
        <v>0</v>
      </c>
    </row>
    <row r="23" spans="1:55" x14ac:dyDescent="0.2">
      <c r="A23" t="s">
        <v>85</v>
      </c>
      <c r="B23" t="s">
        <v>83</v>
      </c>
      <c r="C23" t="s">
        <v>84</v>
      </c>
      <c r="D23" t="s">
        <v>55</v>
      </c>
      <c r="E23" t="s">
        <v>56</v>
      </c>
      <c r="F23">
        <v>2</v>
      </c>
      <c r="G23">
        <v>39.289372610104301</v>
      </c>
      <c r="H23">
        <v>11.43599740060767</v>
      </c>
      <c r="I23">
        <v>1.57</v>
      </c>
      <c r="J23">
        <v>1.5</v>
      </c>
      <c r="K23">
        <v>0.27</v>
      </c>
      <c r="L23">
        <v>0.18</v>
      </c>
      <c r="M23">
        <v>8</v>
      </c>
      <c r="N23">
        <v>250</v>
      </c>
      <c r="Q23">
        <v>0.26808257310632899</v>
      </c>
      <c r="R23">
        <v>1301660.814121977</v>
      </c>
      <c r="S23">
        <v>-2.8241321563849831E-3</v>
      </c>
      <c r="T23">
        <v>682.24591859950192</v>
      </c>
      <c r="U23">
        <v>627.48054822042263</v>
      </c>
      <c r="V23">
        <v>150.93936252201371</v>
      </c>
      <c r="W23">
        <v>4.1571697252193438</v>
      </c>
      <c r="X23" t="s">
        <v>57</v>
      </c>
      <c r="Z23">
        <v>484.16699999999997</v>
      </c>
      <c r="AA23">
        <v>95.163399999999996</v>
      </c>
      <c r="AB23">
        <v>62.418300000000002</v>
      </c>
      <c r="AC23">
        <v>12.24172393497758</v>
      </c>
      <c r="AE23">
        <v>95.163399999999996</v>
      </c>
      <c r="AF23" t="s">
        <v>62</v>
      </c>
      <c r="AG23" t="b">
        <v>0</v>
      </c>
      <c r="AH23">
        <v>7.7736927009189491</v>
      </c>
      <c r="AI23">
        <v>483.32100000000003</v>
      </c>
      <c r="AJ23">
        <v>91.310100000000006</v>
      </c>
      <c r="AK23">
        <v>61.802500000000002</v>
      </c>
      <c r="AL23">
        <v>11.77250563882941</v>
      </c>
      <c r="AN23">
        <v>91.310100000000006</v>
      </c>
      <c r="AO23" t="s">
        <v>62</v>
      </c>
      <c r="AP23" t="b">
        <v>0</v>
      </c>
      <c r="AQ23">
        <v>7.7562162891500934</v>
      </c>
      <c r="AR23">
        <v>484.16699999999997</v>
      </c>
      <c r="AS23">
        <v>95.163399999999996</v>
      </c>
      <c r="AT23">
        <v>7.7736927009189491</v>
      </c>
      <c r="AU23" s="5">
        <v>71.087059799999992</v>
      </c>
      <c r="AV23" s="5">
        <v>101.53934779999999</v>
      </c>
      <c r="AW23" s="5">
        <v>5.8069484475864552</v>
      </c>
      <c r="AX23" s="5">
        <v>8.294530111880519</v>
      </c>
      <c r="AY23" t="s">
        <v>59</v>
      </c>
      <c r="AZ23" t="s">
        <v>60</v>
      </c>
      <c r="BA23" s="23">
        <f t="shared" si="0"/>
        <v>0</v>
      </c>
      <c r="BB23" s="23">
        <f>IF(AND(ISNUMBER(H23),Metadata!$H$5&gt;Metadata!$G$5),MAX(Metadata!$G$5-H23,0,H23-Metadata!$H$5)/(Metadata!$H$5-Metadata!$G$5),"Missing input")</f>
        <v>0</v>
      </c>
      <c r="BC23" s="23">
        <f>IF(AND(ISNUMBER(L23),Metadata!$H$8&gt;Metadata!$G$8),MAX(Metadata!$G$8-L23,0,L23-Metadata!$H$8)/(Metadata!$H$8-Metadata!$G$8),"Missing input")</f>
        <v>0</v>
      </c>
    </row>
    <row r="24" spans="1:55" x14ac:dyDescent="0.2">
      <c r="A24" t="s">
        <v>86</v>
      </c>
      <c r="B24" t="s">
        <v>83</v>
      </c>
      <c r="C24" t="s">
        <v>84</v>
      </c>
      <c r="D24" t="s">
        <v>55</v>
      </c>
      <c r="E24" t="s">
        <v>56</v>
      </c>
      <c r="F24">
        <v>3</v>
      </c>
      <c r="G24">
        <v>50.720967279676117</v>
      </c>
      <c r="H24">
        <v>41.572102032205443</v>
      </c>
      <c r="I24">
        <v>1.57</v>
      </c>
      <c r="J24">
        <v>1.5</v>
      </c>
      <c r="K24">
        <v>0.27</v>
      </c>
      <c r="L24">
        <v>0.18</v>
      </c>
      <c r="M24">
        <v>8</v>
      </c>
      <c r="N24">
        <v>250</v>
      </c>
      <c r="Q24">
        <v>0.26808257310632899</v>
      </c>
      <c r="R24">
        <v>6279453.0057685468</v>
      </c>
      <c r="S24">
        <v>-4.322402862583943E-3</v>
      </c>
      <c r="T24">
        <v>2795.5189136654449</v>
      </c>
      <c r="U24">
        <v>670.01463344967704</v>
      </c>
      <c r="V24">
        <v>618.47763576669149</v>
      </c>
      <c r="W24">
        <v>1.083328797522481</v>
      </c>
      <c r="X24" t="s">
        <v>87</v>
      </c>
      <c r="Z24">
        <v>999.79</v>
      </c>
      <c r="AA24">
        <v>95.163399999999996</v>
      </c>
      <c r="AB24">
        <v>25.7987</v>
      </c>
      <c r="AC24">
        <v>12.70455523099047</v>
      </c>
      <c r="AD24">
        <v>26.034213720129902</v>
      </c>
      <c r="AE24">
        <v>26.034213720129902</v>
      </c>
      <c r="AF24" t="s">
        <v>58</v>
      </c>
      <c r="AG24" t="b">
        <v>1</v>
      </c>
      <c r="AH24">
        <v>2.049203080846477</v>
      </c>
      <c r="AI24">
        <v>1005.74</v>
      </c>
      <c r="AJ24">
        <v>91.310100000000006</v>
      </c>
      <c r="AK24">
        <v>26.287600000000001</v>
      </c>
      <c r="AL24">
        <v>11.79214072119613</v>
      </c>
      <c r="AM24">
        <v>26.982246207718671</v>
      </c>
      <c r="AN24">
        <v>26.982246207718671</v>
      </c>
      <c r="AO24" t="s">
        <v>58</v>
      </c>
      <c r="AP24" t="b">
        <v>1</v>
      </c>
      <c r="AQ24">
        <v>2.2881550386537231</v>
      </c>
      <c r="AR24">
        <v>1005.74</v>
      </c>
      <c r="AS24">
        <v>26.982246207718671</v>
      </c>
      <c r="AT24">
        <v>2.2881550386537231</v>
      </c>
      <c r="AU24" s="5" t="s">
        <v>88</v>
      </c>
      <c r="AV24" s="5" t="s">
        <v>88</v>
      </c>
      <c r="AW24" s="5" t="s">
        <v>88</v>
      </c>
      <c r="AX24" s="5" t="s">
        <v>88</v>
      </c>
      <c r="AY24" t="s">
        <v>64</v>
      </c>
      <c r="AZ24" t="s">
        <v>7</v>
      </c>
      <c r="BA24" s="23">
        <f t="shared" si="0"/>
        <v>4.6063612035701466E-2</v>
      </c>
      <c r="BB24" s="23">
        <f>IF(AND(ISNUMBER(H24),Metadata!$H$5&gt;Metadata!$G$5),MAX(Metadata!$G$5-H24,0,H24-Metadata!$H$5)/(Metadata!$H$5-Metadata!$G$5),"Missing input")</f>
        <v>4.6063612035701466E-2</v>
      </c>
      <c r="BC24" s="23">
        <f>IF(AND(ISNUMBER(L24),Metadata!$H$8&gt;Metadata!$G$8),MAX(Metadata!$G$8-L24,0,L24-Metadata!$H$8)/(Metadata!$H$8-Metadata!$G$8),"Missing input")</f>
        <v>0</v>
      </c>
    </row>
    <row r="25" spans="1:55" x14ac:dyDescent="0.2">
      <c r="A25" t="s">
        <v>89</v>
      </c>
      <c r="B25" t="s">
        <v>83</v>
      </c>
      <c r="C25" t="s">
        <v>84</v>
      </c>
      <c r="D25" t="s">
        <v>55</v>
      </c>
      <c r="E25" t="s">
        <v>56</v>
      </c>
      <c r="F25">
        <v>4</v>
      </c>
      <c r="G25">
        <v>40.065365059576777</v>
      </c>
      <c r="H25">
        <v>25.23064360495534</v>
      </c>
      <c r="I25">
        <v>1.57</v>
      </c>
      <c r="J25">
        <v>1.5</v>
      </c>
      <c r="K25">
        <v>0.27</v>
      </c>
      <c r="L25">
        <v>0.18</v>
      </c>
      <c r="M25">
        <v>8</v>
      </c>
      <c r="N25">
        <v>250</v>
      </c>
      <c r="Q25">
        <v>0.26808257310632899</v>
      </c>
      <c r="R25">
        <v>2986346.165161836</v>
      </c>
      <c r="S25">
        <v>-4.0307654714003176E-3</v>
      </c>
      <c r="T25">
        <v>1323.2635029237761</v>
      </c>
      <c r="U25">
        <v>630.54937063632201</v>
      </c>
      <c r="V25">
        <v>292.75741215127789</v>
      </c>
      <c r="W25">
        <v>2.1538288851607121</v>
      </c>
      <c r="X25" t="s">
        <v>57</v>
      </c>
      <c r="Z25">
        <v>726.92899999999997</v>
      </c>
      <c r="AA25">
        <v>95.050300000000007</v>
      </c>
      <c r="AB25">
        <v>37.809100000000001</v>
      </c>
      <c r="AC25">
        <v>13.156666066282421</v>
      </c>
      <c r="AD25">
        <v>46.172164094591217</v>
      </c>
      <c r="AE25">
        <v>46.172164094591217</v>
      </c>
      <c r="AF25" t="s">
        <v>58</v>
      </c>
      <c r="AG25" t="b">
        <v>1</v>
      </c>
      <c r="AH25">
        <v>3.509412176457082</v>
      </c>
      <c r="AI25">
        <v>726.83</v>
      </c>
      <c r="AJ25">
        <v>90.817700000000002</v>
      </c>
      <c r="AK25">
        <v>39.0974</v>
      </c>
      <c r="AL25">
        <v>12.92732305658382</v>
      </c>
      <c r="AM25">
        <v>39.830685582643177</v>
      </c>
      <c r="AN25">
        <v>39.830685582643177</v>
      </c>
      <c r="AO25" t="s">
        <v>58</v>
      </c>
      <c r="AP25" t="b">
        <v>1</v>
      </c>
      <c r="AQ25">
        <v>3.081124019899665</v>
      </c>
      <c r="AR25">
        <v>726.92899999999997</v>
      </c>
      <c r="AS25">
        <v>46.172164094591217</v>
      </c>
      <c r="AT25">
        <v>3.509412176457082</v>
      </c>
      <c r="AU25" s="5">
        <v>34.490606578659637</v>
      </c>
      <c r="AV25" s="5">
        <v>49.265699088928827</v>
      </c>
      <c r="AW25" s="5">
        <v>2.6215308958134402</v>
      </c>
      <c r="AX25" s="5">
        <v>3.7445427922797063</v>
      </c>
      <c r="AY25" t="s">
        <v>59</v>
      </c>
      <c r="AZ25" t="s">
        <v>60</v>
      </c>
      <c r="BA25" s="23">
        <f t="shared" si="0"/>
        <v>0</v>
      </c>
      <c r="BB25" s="23">
        <f>IF(AND(ISNUMBER(H25),Metadata!$H$5&gt;Metadata!$G$5),MAX(Metadata!$G$5-H25,0,H25-Metadata!$H$5)/(Metadata!$H$5-Metadata!$G$5),"Missing input")</f>
        <v>0</v>
      </c>
      <c r="BC25" s="23">
        <f>IF(AND(ISNUMBER(L25),Metadata!$H$8&gt;Metadata!$G$8),MAX(Metadata!$G$8-L25,0,L25-Metadata!$H$8)/(Metadata!$H$8-Metadata!$G$8),"Missing input")</f>
        <v>0</v>
      </c>
    </row>
    <row r="26" spans="1:55" x14ac:dyDescent="0.2">
      <c r="A26" t="s">
        <v>90</v>
      </c>
      <c r="B26" t="s">
        <v>83</v>
      </c>
      <c r="C26" t="s">
        <v>84</v>
      </c>
      <c r="D26" t="s">
        <v>55</v>
      </c>
      <c r="E26" t="s">
        <v>56</v>
      </c>
      <c r="F26">
        <v>5</v>
      </c>
      <c r="G26">
        <v>44.691650234033148</v>
      </c>
      <c r="H26">
        <v>35.278860063057749</v>
      </c>
      <c r="I26">
        <v>1.57</v>
      </c>
      <c r="J26">
        <v>1.5</v>
      </c>
      <c r="K26">
        <v>0.27</v>
      </c>
      <c r="L26">
        <v>0.18</v>
      </c>
      <c r="M26">
        <v>8</v>
      </c>
      <c r="N26">
        <v>250</v>
      </c>
      <c r="Q26">
        <v>0.26808257310632899</v>
      </c>
      <c r="R26">
        <v>4683732.748780732</v>
      </c>
      <c r="S26">
        <v>-4.3434140530034891E-3</v>
      </c>
      <c r="T26">
        <v>2061.9786008310161</v>
      </c>
      <c r="U26">
        <v>648.25869494719905</v>
      </c>
      <c r="V26">
        <v>456.18995593606547</v>
      </c>
      <c r="W26">
        <v>1.4210279873808791</v>
      </c>
      <c r="X26" t="s">
        <v>57</v>
      </c>
      <c r="Z26">
        <v>885.39700000000005</v>
      </c>
      <c r="AA26">
        <v>95.163399999999996</v>
      </c>
      <c r="AB26">
        <v>29.498000000000001</v>
      </c>
      <c r="AC26">
        <v>13.08610322408898</v>
      </c>
      <c r="AD26">
        <v>31.084934674315878</v>
      </c>
      <c r="AE26">
        <v>31.084934674315878</v>
      </c>
      <c r="AF26" t="s">
        <v>58</v>
      </c>
      <c r="AG26" t="b">
        <v>1</v>
      </c>
      <c r="AH26">
        <v>2.375415671266794</v>
      </c>
      <c r="AI26">
        <v>888.57399999999996</v>
      </c>
      <c r="AJ26">
        <v>91.310100000000006</v>
      </c>
      <c r="AK26">
        <v>30.145800000000001</v>
      </c>
      <c r="AL26">
        <v>12.56139874244492</v>
      </c>
      <c r="AM26">
        <v>32.143559758684788</v>
      </c>
      <c r="AN26">
        <v>32.143559758684788</v>
      </c>
      <c r="AO26" t="s">
        <v>58</v>
      </c>
      <c r="AP26" t="b">
        <v>1</v>
      </c>
      <c r="AQ26">
        <v>2.558915644487251</v>
      </c>
      <c r="AR26">
        <v>888.57399999999996</v>
      </c>
      <c r="AS26">
        <v>32.143559758684788</v>
      </c>
      <c r="AT26">
        <v>2.558915644487251</v>
      </c>
      <c r="AU26" s="5">
        <v>24.011239139737537</v>
      </c>
      <c r="AV26" s="5">
        <v>34.297178262516667</v>
      </c>
      <c r="AW26" s="5">
        <v>1.9115099864319764</v>
      </c>
      <c r="AX26" s="5">
        <v>2.7303629926678967</v>
      </c>
      <c r="AY26" t="s">
        <v>59</v>
      </c>
      <c r="AZ26" t="s">
        <v>60</v>
      </c>
      <c r="BA26" s="23">
        <f t="shared" si="0"/>
        <v>0</v>
      </c>
      <c r="BB26" s="23">
        <f>IF(AND(ISNUMBER(H26),Metadata!$H$5&gt;Metadata!$G$5),MAX(Metadata!$G$5-H26,0,H26-Metadata!$H$5)/(Metadata!$H$5-Metadata!$G$5),"Missing input")</f>
        <v>0</v>
      </c>
      <c r="BC26" s="23">
        <f>IF(AND(ISNUMBER(L26),Metadata!$H$8&gt;Metadata!$G$8),MAX(Metadata!$G$8-L26,0,L26-Metadata!$H$8)/(Metadata!$H$8-Metadata!$G$8),"Missing input")</f>
        <v>0</v>
      </c>
    </row>
    <row r="27" spans="1:55" x14ac:dyDescent="0.2">
      <c r="A27" t="s">
        <v>91</v>
      </c>
      <c r="B27" t="s">
        <v>83</v>
      </c>
      <c r="C27" t="s">
        <v>84</v>
      </c>
      <c r="D27" t="s">
        <v>55</v>
      </c>
      <c r="E27" t="s">
        <v>56</v>
      </c>
      <c r="F27">
        <v>6</v>
      </c>
      <c r="G27">
        <v>33.086500490231572</v>
      </c>
      <c r="H27">
        <v>19.79580616436397</v>
      </c>
      <c r="I27">
        <v>1.57</v>
      </c>
      <c r="J27">
        <v>1.5</v>
      </c>
      <c r="K27">
        <v>0.27</v>
      </c>
      <c r="L27">
        <v>0.18</v>
      </c>
      <c r="M27">
        <v>8</v>
      </c>
      <c r="N27">
        <v>250</v>
      </c>
      <c r="Q27">
        <v>0.26808257310632899</v>
      </c>
      <c r="R27">
        <v>1918643.176085273</v>
      </c>
      <c r="S27">
        <v>-3.6480036839003529E-3</v>
      </c>
      <c r="T27">
        <v>915.0391797947683</v>
      </c>
      <c r="U27">
        <v>601.77118819737905</v>
      </c>
      <c r="V27">
        <v>202.44229641477179</v>
      </c>
      <c r="W27">
        <v>2.9725566191189929</v>
      </c>
      <c r="X27" t="s">
        <v>57</v>
      </c>
      <c r="Z27">
        <v>568.48699999999997</v>
      </c>
      <c r="AA27">
        <v>95.107200000000006</v>
      </c>
      <c r="AB27">
        <v>44.910200000000003</v>
      </c>
      <c r="AC27">
        <v>12.9668633139776</v>
      </c>
      <c r="AD27">
        <v>51.546049532596818</v>
      </c>
      <c r="AE27">
        <v>51.546049532596818</v>
      </c>
      <c r="AF27" t="s">
        <v>58</v>
      </c>
      <c r="AG27" t="b">
        <v>1</v>
      </c>
      <c r="AH27">
        <v>3.975213456367114</v>
      </c>
      <c r="AI27">
        <v>565.76300000000003</v>
      </c>
      <c r="AJ27">
        <v>70.617699999999999</v>
      </c>
      <c r="AK27">
        <v>39.358900000000013</v>
      </c>
      <c r="AL27">
        <v>12.55972532416193</v>
      </c>
      <c r="AM27">
        <v>51.893468706435527</v>
      </c>
      <c r="AN27">
        <v>51.893468706435527</v>
      </c>
      <c r="AO27" t="s">
        <v>58</v>
      </c>
      <c r="AP27" t="b">
        <v>1</v>
      </c>
      <c r="AQ27">
        <v>4.1317359549738581</v>
      </c>
      <c r="AR27">
        <v>568.48699999999997</v>
      </c>
      <c r="AS27">
        <v>51.893468706435527</v>
      </c>
      <c r="AT27">
        <v>4.1317359549738581</v>
      </c>
      <c r="AU27" s="5">
        <v>38.764421123707336</v>
      </c>
      <c r="AV27" s="5">
        <v>55.370331109766703</v>
      </c>
      <c r="AW27" s="5">
        <v>3.086406758365472</v>
      </c>
      <c r="AX27" s="5">
        <v>4.4085622639571067</v>
      </c>
      <c r="AY27" t="s">
        <v>59</v>
      </c>
      <c r="AZ27" t="s">
        <v>60</v>
      </c>
      <c r="BA27" s="23">
        <f t="shared" si="0"/>
        <v>0</v>
      </c>
      <c r="BB27" s="23">
        <f>IF(AND(ISNUMBER(H27),Metadata!$H$5&gt;Metadata!$G$5),MAX(Metadata!$G$5-H27,0,H27-Metadata!$H$5)/(Metadata!$H$5-Metadata!$G$5),"Missing input")</f>
        <v>0</v>
      </c>
      <c r="BC27" s="23">
        <f>IF(AND(ISNUMBER(L27),Metadata!$H$8&gt;Metadata!$G$8),MAX(Metadata!$G$8-L27,0,L27-Metadata!$H$8)/(Metadata!$H$8-Metadata!$G$8),"Missing input")</f>
        <v>0</v>
      </c>
    </row>
    <row r="28" spans="1:55" x14ac:dyDescent="0.2">
      <c r="A28" t="s">
        <v>92</v>
      </c>
      <c r="B28" t="s">
        <v>83</v>
      </c>
      <c r="C28" t="s">
        <v>84</v>
      </c>
      <c r="D28" t="s">
        <v>55</v>
      </c>
      <c r="E28" t="s">
        <v>56</v>
      </c>
      <c r="F28">
        <v>7</v>
      </c>
      <c r="G28">
        <v>42.943727860216583</v>
      </c>
      <c r="H28">
        <v>31.604415760045629</v>
      </c>
      <c r="I28">
        <v>1.57</v>
      </c>
      <c r="J28">
        <v>1.5</v>
      </c>
      <c r="K28">
        <v>0.27</v>
      </c>
      <c r="L28">
        <v>0.18</v>
      </c>
      <c r="M28">
        <v>8</v>
      </c>
      <c r="N28">
        <v>250</v>
      </c>
      <c r="Q28">
        <v>0.26808257310632899</v>
      </c>
      <c r="R28">
        <v>4025355.613741619</v>
      </c>
      <c r="S28">
        <v>-4.2845925991544303E-3</v>
      </c>
      <c r="T28">
        <v>1767.125197942283</v>
      </c>
      <c r="U28">
        <v>641.68060951258349</v>
      </c>
      <c r="V28">
        <v>390.95690219962017</v>
      </c>
      <c r="W28">
        <v>1.6413077909670599</v>
      </c>
      <c r="X28" t="s">
        <v>57</v>
      </c>
      <c r="Z28">
        <v>835.90499999999997</v>
      </c>
      <c r="AA28">
        <v>95.163399999999996</v>
      </c>
      <c r="AB28">
        <v>32.772100000000002</v>
      </c>
      <c r="AC28">
        <v>13.301956445783141</v>
      </c>
      <c r="AD28">
        <v>36.122189921014169</v>
      </c>
      <c r="AE28">
        <v>36.122189921014169</v>
      </c>
      <c r="AF28" t="s">
        <v>58</v>
      </c>
      <c r="AG28" t="b">
        <v>1</v>
      </c>
      <c r="AH28">
        <v>2.715554668085332</v>
      </c>
      <c r="AI28">
        <v>834.64300000000003</v>
      </c>
      <c r="AJ28">
        <v>91.310100000000006</v>
      </c>
      <c r="AK28">
        <v>32.289299999999997</v>
      </c>
      <c r="AL28">
        <v>12.812614861902681</v>
      </c>
      <c r="AM28">
        <v>35.771236417994047</v>
      </c>
      <c r="AN28">
        <v>35.771236417994047</v>
      </c>
      <c r="AO28" t="s">
        <v>58</v>
      </c>
      <c r="AP28" t="b">
        <v>1</v>
      </c>
      <c r="AQ28">
        <v>2.7918763502645398</v>
      </c>
      <c r="AR28">
        <v>835.90499999999997</v>
      </c>
      <c r="AS28">
        <v>36.122189921014169</v>
      </c>
      <c r="AT28">
        <v>2.7918763502645398</v>
      </c>
      <c r="AU28" s="5">
        <v>26.983275870997584</v>
      </c>
      <c r="AV28" s="5">
        <v>38.542376645722115</v>
      </c>
      <c r="AW28" s="5">
        <v>2.0855316336476113</v>
      </c>
      <c r="AX28" s="5">
        <v>2.978932065732264</v>
      </c>
      <c r="AY28" t="s">
        <v>59</v>
      </c>
      <c r="AZ28" t="s">
        <v>60</v>
      </c>
      <c r="BA28" s="23">
        <f t="shared" si="0"/>
        <v>0</v>
      </c>
      <c r="BB28" s="23">
        <f>IF(AND(ISNUMBER(H28),Metadata!$H$5&gt;Metadata!$G$5),MAX(Metadata!$G$5-H28,0,H28-Metadata!$H$5)/(Metadata!$H$5-Metadata!$G$5),"Missing input")</f>
        <v>0</v>
      </c>
      <c r="BC28" s="23">
        <f>IF(AND(ISNUMBER(L28),Metadata!$H$8&gt;Metadata!$G$8),MAX(Metadata!$G$8-L28,0,L28-Metadata!$H$8)/(Metadata!$H$8-Metadata!$G$8),"Missing input")</f>
        <v>0</v>
      </c>
    </row>
    <row r="29" spans="1:55" x14ac:dyDescent="0.2">
      <c r="A29" t="s">
        <v>93</v>
      </c>
      <c r="B29" t="s">
        <v>83</v>
      </c>
      <c r="C29" t="s">
        <v>84</v>
      </c>
      <c r="D29" t="s">
        <v>55</v>
      </c>
      <c r="E29" t="s">
        <v>56</v>
      </c>
      <c r="F29">
        <v>8</v>
      </c>
      <c r="G29">
        <v>29.155454969686971</v>
      </c>
      <c r="H29">
        <v>7.3398505058277053</v>
      </c>
      <c r="I29">
        <v>1.57</v>
      </c>
      <c r="J29">
        <v>1.5</v>
      </c>
      <c r="K29">
        <v>0.27</v>
      </c>
      <c r="L29">
        <v>0.18</v>
      </c>
      <c r="M29">
        <v>8</v>
      </c>
      <c r="N29">
        <v>250</v>
      </c>
      <c r="Q29">
        <v>0.26808257310632899</v>
      </c>
      <c r="R29">
        <v>595711.36772068124</v>
      </c>
      <c r="S29">
        <v>-2.3850337772593579E-3</v>
      </c>
      <c r="T29">
        <v>480.50831710260849</v>
      </c>
      <c r="U29">
        <v>584.20899189256249</v>
      </c>
      <c r="V29">
        <v>106.3071498014621</v>
      </c>
      <c r="W29">
        <v>5.4954816584173694</v>
      </c>
      <c r="X29" t="s">
        <v>57</v>
      </c>
      <c r="Z29">
        <v>341.74</v>
      </c>
      <c r="AA29">
        <v>95.163399999999996</v>
      </c>
      <c r="AB29">
        <v>74.745599999999996</v>
      </c>
      <c r="AC29">
        <v>12.7544226519337</v>
      </c>
      <c r="AE29">
        <v>95.163399999999996</v>
      </c>
      <c r="AF29" t="s">
        <v>62</v>
      </c>
      <c r="AG29" t="b">
        <v>0</v>
      </c>
      <c r="AH29">
        <v>7.4612079744411037</v>
      </c>
      <c r="AI29">
        <v>341.57400000000001</v>
      </c>
      <c r="AJ29">
        <v>91.310100000000006</v>
      </c>
      <c r="AK29">
        <v>73.743399999999994</v>
      </c>
      <c r="AL29">
        <v>12.65830566828407</v>
      </c>
      <c r="AN29">
        <v>91.310100000000006</v>
      </c>
      <c r="AO29" t="s">
        <v>62</v>
      </c>
      <c r="AP29" t="b">
        <v>0</v>
      </c>
      <c r="AQ29">
        <v>7.2134535531703401</v>
      </c>
      <c r="AR29">
        <v>341.74</v>
      </c>
      <c r="AS29">
        <v>95.163399999999996</v>
      </c>
      <c r="AT29">
        <v>7.4612079744411037</v>
      </c>
      <c r="AU29" s="5">
        <v>71.087059799999992</v>
      </c>
      <c r="AV29" s="5">
        <v>101.53934779999999</v>
      </c>
      <c r="AW29" s="5">
        <v>5.5735223569075041</v>
      </c>
      <c r="AX29" s="5">
        <v>7.9611089087286571</v>
      </c>
      <c r="AY29" t="s">
        <v>59</v>
      </c>
      <c r="AZ29" t="s">
        <v>60</v>
      </c>
      <c r="BA29" s="23">
        <f t="shared" si="0"/>
        <v>0</v>
      </c>
      <c r="BB29" s="23">
        <f>IF(AND(ISNUMBER(H29),Metadata!$H$5&gt;Metadata!$G$5),MAX(Metadata!$G$5-H29,0,H29-Metadata!$H$5)/(Metadata!$H$5-Metadata!$G$5),"Missing input")</f>
        <v>0</v>
      </c>
      <c r="BC29" s="23">
        <f>IF(AND(ISNUMBER(L29),Metadata!$H$8&gt;Metadata!$G$8),MAX(Metadata!$G$8-L29,0,L29-Metadata!$H$8)/(Metadata!$H$8-Metadata!$G$8),"Missing input")</f>
        <v>0</v>
      </c>
    </row>
    <row r="30" spans="1:55" x14ac:dyDescent="0.2">
      <c r="A30" t="s">
        <v>94</v>
      </c>
      <c r="B30" t="s">
        <v>83</v>
      </c>
      <c r="C30" t="s">
        <v>84</v>
      </c>
      <c r="D30" t="s">
        <v>55</v>
      </c>
      <c r="E30" t="s">
        <v>56</v>
      </c>
      <c r="F30">
        <v>9</v>
      </c>
      <c r="G30">
        <v>59.748609235827082</v>
      </c>
      <c r="H30">
        <v>37.783512331141722</v>
      </c>
      <c r="I30">
        <v>1.57</v>
      </c>
      <c r="J30">
        <v>1.5</v>
      </c>
      <c r="K30">
        <v>0.27</v>
      </c>
      <c r="L30">
        <v>0.18</v>
      </c>
      <c r="M30">
        <v>8</v>
      </c>
      <c r="N30">
        <v>250</v>
      </c>
      <c r="Q30">
        <v>0.26808257310632899</v>
      </c>
      <c r="R30">
        <v>6726258.2664913209</v>
      </c>
      <c r="S30">
        <v>-4.3519787391833606E-3</v>
      </c>
      <c r="T30">
        <v>2958.9793454838732</v>
      </c>
      <c r="U30">
        <v>700.29854265463928</v>
      </c>
      <c r="V30">
        <v>654.64144811590108</v>
      </c>
      <c r="W30">
        <v>1.06974366604825</v>
      </c>
      <c r="X30" t="s">
        <v>87</v>
      </c>
      <c r="Z30">
        <v>1130.99</v>
      </c>
      <c r="AA30">
        <v>95.163399999999996</v>
      </c>
      <c r="AB30">
        <v>27.986799999999999</v>
      </c>
      <c r="AC30">
        <v>13.481374298018951</v>
      </c>
      <c r="AD30">
        <v>28.547637692947049</v>
      </c>
      <c r="AE30">
        <v>28.547637692947049</v>
      </c>
      <c r="AF30" t="s">
        <v>58</v>
      </c>
      <c r="AG30" t="b">
        <v>1</v>
      </c>
      <c r="AH30">
        <v>2.1175613896531331</v>
      </c>
      <c r="AI30">
        <v>1134.33</v>
      </c>
      <c r="AJ30">
        <v>91.310100000000006</v>
      </c>
      <c r="AK30">
        <v>28.645399999999999</v>
      </c>
      <c r="AL30">
        <v>12.75846914924297</v>
      </c>
      <c r="AM30">
        <v>29.549724822442929</v>
      </c>
      <c r="AN30">
        <v>29.549724822442929</v>
      </c>
      <c r="AO30" t="s">
        <v>58</v>
      </c>
      <c r="AP30" t="b">
        <v>1</v>
      </c>
      <c r="AQ30">
        <v>2.316087022414933</v>
      </c>
      <c r="AR30">
        <v>1134.33</v>
      </c>
      <c r="AS30">
        <v>29.549724822442929</v>
      </c>
      <c r="AT30">
        <v>2.316087022414933</v>
      </c>
      <c r="AU30" s="5" t="s">
        <v>88</v>
      </c>
      <c r="AV30" s="5" t="s">
        <v>88</v>
      </c>
      <c r="AW30" s="5" t="s">
        <v>88</v>
      </c>
      <c r="AX30" s="5" t="s">
        <v>88</v>
      </c>
      <c r="AY30" t="s">
        <v>59</v>
      </c>
      <c r="AZ30" t="s">
        <v>60</v>
      </c>
      <c r="BA30" s="23">
        <f t="shared" si="0"/>
        <v>0</v>
      </c>
      <c r="BB30" s="23">
        <f>IF(AND(ISNUMBER(H30),Metadata!$H$5&gt;Metadata!$G$5),MAX(Metadata!$G$5-H30,0,H30-Metadata!$H$5)/(Metadata!$H$5-Metadata!$G$5),"Missing input")</f>
        <v>0</v>
      </c>
      <c r="BC30" s="23">
        <f>IF(AND(ISNUMBER(L30),Metadata!$H$8&gt;Metadata!$G$8),MAX(Metadata!$G$8-L30,0,L30-Metadata!$H$8)/(Metadata!$H$8-Metadata!$G$8),"Missing input")</f>
        <v>0</v>
      </c>
    </row>
    <row r="31" spans="1:55" x14ac:dyDescent="0.2">
      <c r="A31" t="s">
        <v>95</v>
      </c>
      <c r="B31" t="s">
        <v>83</v>
      </c>
      <c r="C31" t="s">
        <v>84</v>
      </c>
      <c r="D31" t="s">
        <v>55</v>
      </c>
      <c r="E31" t="s">
        <v>56</v>
      </c>
      <c r="F31">
        <v>10</v>
      </c>
      <c r="G31">
        <v>34.746337553007109</v>
      </c>
      <c r="H31">
        <v>23.7414613202046</v>
      </c>
      <c r="I31">
        <v>1.57</v>
      </c>
      <c r="J31">
        <v>1.5</v>
      </c>
      <c r="K31">
        <v>0.27</v>
      </c>
      <c r="L31">
        <v>0.18</v>
      </c>
      <c r="M31">
        <v>8</v>
      </c>
      <c r="N31">
        <v>250</v>
      </c>
      <c r="Q31">
        <v>0.26808257310632899</v>
      </c>
      <c r="R31">
        <v>2428507.8121004719</v>
      </c>
      <c r="S31">
        <v>-3.9410675050535644E-3</v>
      </c>
      <c r="T31">
        <v>1111.217336052197</v>
      </c>
      <c r="U31">
        <v>608.8714355221432</v>
      </c>
      <c r="V31">
        <v>245.84454337438001</v>
      </c>
      <c r="W31">
        <v>2.47665222569099</v>
      </c>
      <c r="X31" t="s">
        <v>57</v>
      </c>
      <c r="Z31">
        <v>638.13599999999997</v>
      </c>
      <c r="AA31">
        <v>95.163399999999996</v>
      </c>
      <c r="AB31">
        <v>40.726599999999998</v>
      </c>
      <c r="AC31">
        <v>13.095158139534879</v>
      </c>
      <c r="AD31">
        <v>50.065210844659589</v>
      </c>
      <c r="AE31">
        <v>50.065210844659589</v>
      </c>
      <c r="AF31" t="s">
        <v>58</v>
      </c>
      <c r="AG31" t="b">
        <v>1</v>
      </c>
      <c r="AH31">
        <v>3.823184898661927</v>
      </c>
      <c r="AI31">
        <v>637.89099999999996</v>
      </c>
      <c r="AJ31">
        <v>91.310100000000006</v>
      </c>
      <c r="AK31">
        <v>39.358900000000013</v>
      </c>
      <c r="AL31">
        <v>12.86803766696349</v>
      </c>
      <c r="AM31">
        <v>49.828747242059691</v>
      </c>
      <c r="AN31">
        <v>49.828747242059691</v>
      </c>
      <c r="AO31" t="s">
        <v>58</v>
      </c>
      <c r="AP31" t="b">
        <v>1</v>
      </c>
      <c r="AQ31">
        <v>3.8722879534294949</v>
      </c>
      <c r="AR31">
        <v>638.13599999999997</v>
      </c>
      <c r="AS31">
        <v>50.065210844659589</v>
      </c>
      <c r="AT31">
        <v>3.8722879534294949</v>
      </c>
      <c r="AU31" s="5">
        <v>37.398712500960713</v>
      </c>
      <c r="AV31" s="5">
        <v>53.419579971251778</v>
      </c>
      <c r="AW31" s="5">
        <v>2.8925991012118328</v>
      </c>
      <c r="AX31" s="5">
        <v>4.131731246309271</v>
      </c>
      <c r="AY31" t="s">
        <v>59</v>
      </c>
      <c r="AZ31" t="s">
        <v>60</v>
      </c>
      <c r="BA31" s="23">
        <f t="shared" si="0"/>
        <v>0</v>
      </c>
      <c r="BB31" s="23">
        <f>IF(AND(ISNUMBER(H31),Metadata!$H$5&gt;Metadata!$G$5),MAX(Metadata!$G$5-H31,0,H31-Metadata!$H$5)/(Metadata!$H$5-Metadata!$G$5),"Missing input")</f>
        <v>0</v>
      </c>
      <c r="BC31" s="23">
        <f>IF(AND(ISNUMBER(L31),Metadata!$H$8&gt;Metadata!$G$8),MAX(Metadata!$G$8-L31,0,L31-Metadata!$H$8)/(Metadata!$H$8-Metadata!$G$8),"Missing input")</f>
        <v>0</v>
      </c>
    </row>
    <row r="32" spans="1:55" x14ac:dyDescent="0.2">
      <c r="A32" t="s">
        <v>96</v>
      </c>
      <c r="B32" t="s">
        <v>83</v>
      </c>
      <c r="C32" t="s">
        <v>84</v>
      </c>
      <c r="D32" t="s">
        <v>55</v>
      </c>
      <c r="E32" t="s">
        <v>56</v>
      </c>
      <c r="F32">
        <v>11</v>
      </c>
      <c r="G32">
        <v>24.502161634428251</v>
      </c>
      <c r="H32">
        <v>33.048591474592847</v>
      </c>
      <c r="I32">
        <v>1.57</v>
      </c>
      <c r="J32">
        <v>1.5</v>
      </c>
      <c r="K32">
        <v>0.27</v>
      </c>
      <c r="L32">
        <v>0.18</v>
      </c>
      <c r="M32">
        <v>8</v>
      </c>
      <c r="N32">
        <v>250</v>
      </c>
      <c r="Q32">
        <v>0.26808257310632899</v>
      </c>
      <c r="R32">
        <v>2383007.1153019848</v>
      </c>
      <c r="S32">
        <v>-4.3146929756164116E-3</v>
      </c>
      <c r="T32">
        <v>1134.971999997148</v>
      </c>
      <c r="U32">
        <v>561.80890652135531</v>
      </c>
      <c r="V32">
        <v>251.099999999369</v>
      </c>
      <c r="W32">
        <v>2.2373911052280651</v>
      </c>
      <c r="X32" t="s">
        <v>57</v>
      </c>
      <c r="Z32">
        <v>566.48599999999999</v>
      </c>
      <c r="AA32">
        <v>95.163399999999996</v>
      </c>
      <c r="AB32">
        <v>32.016500000000001</v>
      </c>
      <c r="AC32">
        <v>13.30520841178879</v>
      </c>
      <c r="AD32">
        <v>35.92473504352045</v>
      </c>
      <c r="AE32">
        <v>35.92473504352045</v>
      </c>
      <c r="AF32" t="s">
        <v>58</v>
      </c>
      <c r="AG32" t="b">
        <v>1</v>
      </c>
      <c r="AH32">
        <v>2.700050531466319</v>
      </c>
      <c r="AI32">
        <v>567.04600000000005</v>
      </c>
      <c r="AJ32">
        <v>91.310100000000006</v>
      </c>
      <c r="AK32">
        <v>32.289299999999997</v>
      </c>
      <c r="AL32">
        <v>12.83541330874958</v>
      </c>
      <c r="AM32">
        <v>35.823810759075911</v>
      </c>
      <c r="AN32">
        <v>35.823810759075911</v>
      </c>
      <c r="AO32" t="s">
        <v>58</v>
      </c>
      <c r="AP32" t="b">
        <v>1</v>
      </c>
      <c r="AQ32">
        <v>2.79101341712586</v>
      </c>
      <c r="AR32">
        <v>567.04600000000005</v>
      </c>
      <c r="AS32">
        <v>35.92473504352045</v>
      </c>
      <c r="AT32">
        <v>2.79101341712586</v>
      </c>
      <c r="AU32" s="5">
        <v>26.835777077509775</v>
      </c>
      <c r="AV32" s="5">
        <v>38.331692291436319</v>
      </c>
      <c r="AW32" s="5">
        <v>2.0848870225930174</v>
      </c>
      <c r="AX32" s="5">
        <v>2.9780113160732924</v>
      </c>
      <c r="AY32" t="s">
        <v>59</v>
      </c>
      <c r="AZ32" t="s">
        <v>60</v>
      </c>
      <c r="BA32" s="23">
        <f t="shared" si="0"/>
        <v>0</v>
      </c>
      <c r="BB32" s="23">
        <f>IF(AND(ISNUMBER(H32),Metadata!$H$5&gt;Metadata!$G$5),MAX(Metadata!$G$5-H32,0,H32-Metadata!$H$5)/(Metadata!$H$5-Metadata!$G$5),"Missing input")</f>
        <v>0</v>
      </c>
      <c r="BC32" s="23">
        <f>IF(AND(ISNUMBER(L32),Metadata!$H$8&gt;Metadata!$G$8),MAX(Metadata!$G$8-L32,0,L32-Metadata!$H$8)/(Metadata!$H$8-Metadata!$G$8),"Missing input")</f>
        <v>0</v>
      </c>
    </row>
    <row r="33" spans="1:55" x14ac:dyDescent="0.2">
      <c r="A33" t="s">
        <v>97</v>
      </c>
      <c r="B33" t="s">
        <v>83</v>
      </c>
      <c r="C33" t="s">
        <v>84</v>
      </c>
      <c r="D33" t="s">
        <v>55</v>
      </c>
      <c r="E33" t="s">
        <v>56</v>
      </c>
      <c r="F33">
        <v>12</v>
      </c>
      <c r="G33">
        <v>56.241153781572699</v>
      </c>
      <c r="H33">
        <v>14.78764467513273</v>
      </c>
      <c r="I33">
        <v>1.57</v>
      </c>
      <c r="J33">
        <v>1.5</v>
      </c>
      <c r="K33">
        <v>0.27</v>
      </c>
      <c r="L33">
        <v>0.18</v>
      </c>
      <c r="M33">
        <v>8</v>
      </c>
      <c r="N33">
        <v>250</v>
      </c>
      <c r="Q33">
        <v>0.26808257310632899</v>
      </c>
      <c r="R33">
        <v>2448743.9197241841</v>
      </c>
      <c r="S33">
        <v>-3.1774351793423649E-3</v>
      </c>
      <c r="T33">
        <v>1060.8343060705299</v>
      </c>
      <c r="U33">
        <v>688.82420852034227</v>
      </c>
      <c r="V33">
        <v>234.69785532533859</v>
      </c>
      <c r="W33">
        <v>2.9349403622180228</v>
      </c>
      <c r="X33" t="s">
        <v>57</v>
      </c>
      <c r="Z33">
        <v>707.721</v>
      </c>
      <c r="AA33">
        <v>94.876900000000006</v>
      </c>
      <c r="AB33">
        <v>51.296399999999998</v>
      </c>
      <c r="AC33">
        <v>12.188919563440161</v>
      </c>
      <c r="AD33">
        <v>75.833752264600676</v>
      </c>
      <c r="AE33">
        <v>75.833752264600676</v>
      </c>
      <c r="AF33" t="s">
        <v>58</v>
      </c>
      <c r="AG33" t="b">
        <v>1</v>
      </c>
      <c r="AH33">
        <v>6.2215319306937511</v>
      </c>
      <c r="AI33">
        <v>706.50599999999997</v>
      </c>
      <c r="AJ33">
        <v>76.334100000000007</v>
      </c>
      <c r="AK33">
        <v>51.757599999999996</v>
      </c>
      <c r="AL33">
        <v>11.95788291298865</v>
      </c>
      <c r="AM33">
        <v>64.853942832599245</v>
      </c>
      <c r="AN33">
        <v>64.853942832599245</v>
      </c>
      <c r="AO33" t="s">
        <v>58</v>
      </c>
      <c r="AP33" t="b">
        <v>1</v>
      </c>
      <c r="AQ33">
        <v>5.4235305115887096</v>
      </c>
      <c r="AR33">
        <v>707.721</v>
      </c>
      <c r="AS33">
        <v>75.833752264600676</v>
      </c>
      <c r="AT33">
        <v>6.2215319306937511</v>
      </c>
      <c r="AU33" s="5">
        <v>56.647812941656703</v>
      </c>
      <c r="AV33" s="5">
        <v>80.914613666328918</v>
      </c>
      <c r="AW33" s="5">
        <v>4.6474843522282319</v>
      </c>
      <c r="AX33" s="5">
        <v>6.6383745700502317</v>
      </c>
      <c r="AY33" t="s">
        <v>59</v>
      </c>
      <c r="AZ33" t="s">
        <v>60</v>
      </c>
      <c r="BA33" s="23">
        <f t="shared" si="0"/>
        <v>0</v>
      </c>
      <c r="BB33" s="23">
        <f>IF(AND(ISNUMBER(H33),Metadata!$H$5&gt;Metadata!$G$5),MAX(Metadata!$G$5-H33,0,H33-Metadata!$H$5)/(Metadata!$H$5-Metadata!$G$5),"Missing input")</f>
        <v>0</v>
      </c>
      <c r="BC33" s="23">
        <f>IF(AND(ISNUMBER(L33),Metadata!$H$8&gt;Metadata!$G$8),MAX(Metadata!$G$8-L33,0,L33-Metadata!$H$8)/(Metadata!$H$8-Metadata!$G$8),"Missing input")</f>
        <v>0</v>
      </c>
    </row>
    <row r="34" spans="1:55" x14ac:dyDescent="0.2">
      <c r="A34" t="s">
        <v>98</v>
      </c>
      <c r="B34" t="s">
        <v>83</v>
      </c>
      <c r="C34" t="s">
        <v>84</v>
      </c>
      <c r="D34" t="s">
        <v>55</v>
      </c>
      <c r="E34" t="s">
        <v>56</v>
      </c>
      <c r="F34">
        <v>13</v>
      </c>
      <c r="G34">
        <v>49.119901382435643</v>
      </c>
      <c r="H34">
        <v>22.54933477691009</v>
      </c>
      <c r="I34">
        <v>1.57</v>
      </c>
      <c r="J34">
        <v>1.5</v>
      </c>
      <c r="K34">
        <v>0.27</v>
      </c>
      <c r="L34">
        <v>0.18</v>
      </c>
      <c r="M34">
        <v>8</v>
      </c>
      <c r="N34">
        <v>250</v>
      </c>
      <c r="Q34">
        <v>0.26808257310632899</v>
      </c>
      <c r="R34">
        <v>3276584.6264440492</v>
      </c>
      <c r="S34">
        <v>-3.8608404719667269E-3</v>
      </c>
      <c r="T34">
        <v>1412.968799359719</v>
      </c>
      <c r="U34">
        <v>664.36962632478549</v>
      </c>
      <c r="V34">
        <v>312.60371667250428</v>
      </c>
      <c r="W34">
        <v>2.1252774387861959</v>
      </c>
      <c r="X34" t="s">
        <v>57</v>
      </c>
      <c r="Z34">
        <v>803.84699999999998</v>
      </c>
      <c r="AA34">
        <v>95.163399999999996</v>
      </c>
      <c r="AB34">
        <v>41.921900000000001</v>
      </c>
      <c r="AC34">
        <v>13.041525475778551</v>
      </c>
      <c r="AD34">
        <v>51.372679087742597</v>
      </c>
      <c r="AE34">
        <v>51.372679087742597</v>
      </c>
      <c r="AF34" t="s">
        <v>58</v>
      </c>
      <c r="AG34" t="b">
        <v>1</v>
      </c>
      <c r="AH34">
        <v>3.939161809188259</v>
      </c>
      <c r="AI34">
        <v>801.81</v>
      </c>
      <c r="AJ34">
        <v>91.310100000000006</v>
      </c>
      <c r="AK34">
        <v>39.358900000000013</v>
      </c>
      <c r="AL34">
        <v>12.82383010905642</v>
      </c>
      <c r="AM34">
        <v>51.508916923284538</v>
      </c>
      <c r="AN34">
        <v>51.508916923284538</v>
      </c>
      <c r="AO34" t="s">
        <v>58</v>
      </c>
      <c r="AP34" t="b">
        <v>1</v>
      </c>
      <c r="AQ34">
        <v>4.0166562162195216</v>
      </c>
      <c r="AR34">
        <v>803.84699999999998</v>
      </c>
      <c r="AS34">
        <v>51.508916923284538</v>
      </c>
      <c r="AT34">
        <v>4.0166562162195216</v>
      </c>
      <c r="AU34" s="5">
        <v>38.477160941693548</v>
      </c>
      <c r="AV34" s="5">
        <v>54.960014357144601</v>
      </c>
      <c r="AW34" s="5">
        <v>3.0004421935159828</v>
      </c>
      <c r="AX34" s="5">
        <v>4.2857721827062294</v>
      </c>
      <c r="AY34" t="s">
        <v>59</v>
      </c>
      <c r="AZ34" t="s">
        <v>60</v>
      </c>
      <c r="BA34" s="23">
        <f t="shared" si="0"/>
        <v>0</v>
      </c>
      <c r="BB34" s="23">
        <f>IF(AND(ISNUMBER(H34),Metadata!$H$5&gt;Metadata!$G$5),MAX(Metadata!$G$5-H34,0,H34-Metadata!$H$5)/(Metadata!$H$5-Metadata!$G$5),"Missing input")</f>
        <v>0</v>
      </c>
      <c r="BC34" s="23">
        <f>IF(AND(ISNUMBER(L34),Metadata!$H$8&gt;Metadata!$G$8),MAX(Metadata!$G$8-L34,0,L34-Metadata!$H$8)/(Metadata!$H$8-Metadata!$G$8),"Missing input")</f>
        <v>0</v>
      </c>
    </row>
    <row r="35" spans="1:55" x14ac:dyDescent="0.2">
      <c r="A35" t="s">
        <v>99</v>
      </c>
      <c r="B35" t="s">
        <v>83</v>
      </c>
      <c r="C35" t="s">
        <v>84</v>
      </c>
      <c r="D35" t="s">
        <v>55</v>
      </c>
      <c r="E35" t="s">
        <v>56</v>
      </c>
      <c r="F35">
        <v>14</v>
      </c>
      <c r="G35">
        <v>37.958866376576751</v>
      </c>
      <c r="H35">
        <v>9.8264864335603903</v>
      </c>
      <c r="I35">
        <v>1.57</v>
      </c>
      <c r="J35">
        <v>1.5</v>
      </c>
      <c r="K35">
        <v>0.27</v>
      </c>
      <c r="L35">
        <v>0.18</v>
      </c>
      <c r="M35">
        <v>8</v>
      </c>
      <c r="N35">
        <v>250</v>
      </c>
      <c r="Q35">
        <v>0.26808257310632899</v>
      </c>
      <c r="R35">
        <v>1072728.181448289</v>
      </c>
      <c r="S35">
        <v>-2.6506531431431338E-3</v>
      </c>
      <c r="T35">
        <v>610.81355109044614</v>
      </c>
      <c r="U35">
        <v>622.147392959331</v>
      </c>
      <c r="V35">
        <v>135.13574139169171</v>
      </c>
      <c r="W35">
        <v>4.6038700535636501</v>
      </c>
      <c r="X35" t="s">
        <v>57</v>
      </c>
      <c r="Z35">
        <v>436.24700000000001</v>
      </c>
      <c r="AA35">
        <v>95.019500000000008</v>
      </c>
      <c r="AB35">
        <v>37.809100000000001</v>
      </c>
      <c r="AC35">
        <v>11.96957330348727</v>
      </c>
      <c r="AD35">
        <v>37.855572724393582</v>
      </c>
      <c r="AE35">
        <v>37.855572724393582</v>
      </c>
      <c r="AF35" t="s">
        <v>58</v>
      </c>
      <c r="AG35" t="b">
        <v>1</v>
      </c>
      <c r="AH35">
        <v>3.162650143373495</v>
      </c>
      <c r="AI35">
        <v>435.01100000000002</v>
      </c>
      <c r="AJ35">
        <v>90.848500000000001</v>
      </c>
      <c r="AK35">
        <v>32.289299999999997</v>
      </c>
      <c r="AL35">
        <v>11.57495806628622</v>
      </c>
      <c r="AN35">
        <v>90.848500000000001</v>
      </c>
      <c r="AO35" t="s">
        <v>62</v>
      </c>
      <c r="AP35" t="b">
        <v>0</v>
      </c>
      <c r="AQ35">
        <v>7.8487109395765087</v>
      </c>
      <c r="AR35">
        <v>436.24700000000001</v>
      </c>
      <c r="AS35">
        <v>90.848500000000001</v>
      </c>
      <c r="AT35">
        <v>7.8487109395765087</v>
      </c>
      <c r="AU35" s="5">
        <v>67.863829499999994</v>
      </c>
      <c r="AV35" s="5">
        <v>96.935349500000001</v>
      </c>
      <c r="AW35" s="5">
        <v>5.8629870718636523</v>
      </c>
      <c r="AX35" s="5">
        <v>8.3745745725281342</v>
      </c>
      <c r="AY35" t="s">
        <v>59</v>
      </c>
      <c r="AZ35" t="s">
        <v>60</v>
      </c>
      <c r="BA35" s="23">
        <f t="shared" si="0"/>
        <v>0</v>
      </c>
      <c r="BB35" s="23">
        <f>IF(AND(ISNUMBER(H35),Metadata!$H$5&gt;Metadata!$G$5),MAX(Metadata!$G$5-H35,0,H35-Metadata!$H$5)/(Metadata!$H$5-Metadata!$G$5),"Missing input")</f>
        <v>0</v>
      </c>
      <c r="BC35" s="23">
        <f>IF(AND(ISNUMBER(L35),Metadata!$H$8&gt;Metadata!$G$8),MAX(Metadata!$G$8-L35,0,L35-Metadata!$H$8)/(Metadata!$H$8-Metadata!$G$8),"Missing input")</f>
        <v>0</v>
      </c>
    </row>
    <row r="36" spans="1:55" x14ac:dyDescent="0.2">
      <c r="A36" t="s">
        <v>100</v>
      </c>
      <c r="B36" t="s">
        <v>83</v>
      </c>
      <c r="C36" t="s">
        <v>84</v>
      </c>
      <c r="D36" t="s">
        <v>55</v>
      </c>
      <c r="E36" t="s">
        <v>56</v>
      </c>
      <c r="F36">
        <v>15</v>
      </c>
      <c r="G36">
        <v>27.308053040943211</v>
      </c>
      <c r="H36">
        <v>5.2772178758296739</v>
      </c>
      <c r="I36">
        <v>1.57</v>
      </c>
      <c r="J36">
        <v>1.5</v>
      </c>
      <c r="K36">
        <v>0.27</v>
      </c>
      <c r="L36">
        <v>0.18</v>
      </c>
      <c r="M36">
        <v>8</v>
      </c>
      <c r="N36">
        <v>250</v>
      </c>
      <c r="Q36">
        <v>0.26808257310632899</v>
      </c>
      <c r="R36">
        <v>386052.96198531118</v>
      </c>
      <c r="S36">
        <v>-2.1721758533294732E-3</v>
      </c>
      <c r="T36">
        <v>428.52672237905682</v>
      </c>
      <c r="U36">
        <v>575.54673413242006</v>
      </c>
      <c r="V36">
        <v>94.806796986516986</v>
      </c>
      <c r="W36">
        <v>6.0707328211317151</v>
      </c>
      <c r="X36" t="s">
        <v>57</v>
      </c>
      <c r="Z36">
        <v>298.67099999999999</v>
      </c>
      <c r="AA36">
        <v>95.163399999999996</v>
      </c>
      <c r="AB36">
        <v>77.850200000000001</v>
      </c>
      <c r="AC36">
        <v>13.25132811774942</v>
      </c>
      <c r="AE36">
        <v>95.163399999999996</v>
      </c>
      <c r="AF36" t="s">
        <v>62</v>
      </c>
      <c r="AG36" t="b">
        <v>0</v>
      </c>
      <c r="AH36">
        <v>7.1814235640678099</v>
      </c>
      <c r="AI36">
        <v>299.01799999999997</v>
      </c>
      <c r="AJ36">
        <v>91.310100000000006</v>
      </c>
      <c r="AK36">
        <v>78.431799999999996</v>
      </c>
      <c r="AL36">
        <v>13.107878296101619</v>
      </c>
      <c r="AN36">
        <v>91.310100000000006</v>
      </c>
      <c r="AO36" t="s">
        <v>62</v>
      </c>
      <c r="AP36" t="b">
        <v>0</v>
      </c>
      <c r="AQ36">
        <v>6.9660472837283152</v>
      </c>
      <c r="AR36">
        <v>299.01799999999997</v>
      </c>
      <c r="AS36">
        <v>95.163399999999996</v>
      </c>
      <c r="AT36">
        <v>7.1814235640678099</v>
      </c>
      <c r="AU36" s="5">
        <v>71.087059799999992</v>
      </c>
      <c r="AV36" s="5">
        <v>101.53934779999999</v>
      </c>
      <c r="AW36" s="5">
        <v>5.3645234023586541</v>
      </c>
      <c r="AX36" s="5">
        <v>7.6625789428603532</v>
      </c>
      <c r="AY36" t="s">
        <v>59</v>
      </c>
      <c r="AZ36" t="s">
        <v>60</v>
      </c>
      <c r="BA36" s="23">
        <f t="shared" si="0"/>
        <v>0</v>
      </c>
      <c r="BB36" s="23">
        <f>IF(AND(ISNUMBER(H36),Metadata!$H$5&gt;Metadata!$G$5),MAX(Metadata!$G$5-H36,0,H36-Metadata!$H$5)/(Metadata!$H$5-Metadata!$G$5),"Missing input")</f>
        <v>0</v>
      </c>
      <c r="BC36" s="23">
        <f>IF(AND(ISNUMBER(L36),Metadata!$H$8&gt;Metadata!$G$8),MAX(Metadata!$G$8-L36,0,L36-Metadata!$H$8)/(Metadata!$H$8-Metadata!$G$8),"Missing input")</f>
        <v>0</v>
      </c>
    </row>
    <row r="37" spans="1:55" x14ac:dyDescent="0.2">
      <c r="A37" t="s">
        <v>101</v>
      </c>
      <c r="B37" t="s">
        <v>83</v>
      </c>
      <c r="C37" t="s">
        <v>84</v>
      </c>
      <c r="D37" t="s">
        <v>55</v>
      </c>
      <c r="E37" t="s">
        <v>56</v>
      </c>
      <c r="F37">
        <v>16</v>
      </c>
      <c r="G37">
        <v>31.1252119640606</v>
      </c>
      <c r="H37">
        <v>39.5069074866867</v>
      </c>
      <c r="I37">
        <v>1.57</v>
      </c>
      <c r="J37">
        <v>1.5</v>
      </c>
      <c r="K37">
        <v>0.27</v>
      </c>
      <c r="L37">
        <v>0.18</v>
      </c>
      <c r="M37">
        <v>8</v>
      </c>
      <c r="N37">
        <v>250</v>
      </c>
      <c r="Q37">
        <v>0.26808257310632899</v>
      </c>
      <c r="R37">
        <v>3642703.933702969</v>
      </c>
      <c r="S37">
        <v>-4.3445279357159092E-3</v>
      </c>
      <c r="T37">
        <v>1657.5346780090949</v>
      </c>
      <c r="U37">
        <v>593.14774857943337</v>
      </c>
      <c r="V37">
        <v>366.71121194891492</v>
      </c>
      <c r="W37">
        <v>1.617479175035593</v>
      </c>
      <c r="X37" t="s">
        <v>57</v>
      </c>
      <c r="Z37">
        <v>684.66700000000003</v>
      </c>
      <c r="AA37">
        <v>95.163399999999996</v>
      </c>
      <c r="AB37">
        <v>26.727599999999999</v>
      </c>
      <c r="AC37">
        <v>12.30120904394645</v>
      </c>
      <c r="AD37">
        <v>28.34146580158431</v>
      </c>
      <c r="AE37">
        <v>28.34146580158431</v>
      </c>
      <c r="AF37" t="s">
        <v>58</v>
      </c>
      <c r="AG37" t="b">
        <v>1</v>
      </c>
      <c r="AH37">
        <v>2.3039577410914269</v>
      </c>
      <c r="AI37">
        <v>691.42600000000004</v>
      </c>
      <c r="AJ37">
        <v>91.310100000000006</v>
      </c>
      <c r="AK37">
        <v>27.573699999999999</v>
      </c>
      <c r="AL37">
        <v>11.791818669266391</v>
      </c>
      <c r="AM37">
        <v>29.377596378728921</v>
      </c>
      <c r="AN37">
        <v>29.377596378728921</v>
      </c>
      <c r="AO37" t="s">
        <v>58</v>
      </c>
      <c r="AP37" t="b">
        <v>1</v>
      </c>
      <c r="AQ37">
        <v>2.4913541500851961</v>
      </c>
      <c r="AR37">
        <v>691.42600000000004</v>
      </c>
      <c r="AS37">
        <v>29.377596378728921</v>
      </c>
      <c r="AT37">
        <v>2.4913541500851961</v>
      </c>
      <c r="AU37" s="5">
        <v>21.945064494910504</v>
      </c>
      <c r="AV37" s="5">
        <v>31.345895336103755</v>
      </c>
      <c r="AW37" s="5">
        <v>1.8610415501136415</v>
      </c>
      <c r="AX37" s="5">
        <v>2.658274878140904</v>
      </c>
      <c r="AY37" t="s">
        <v>59</v>
      </c>
      <c r="AZ37" t="s">
        <v>60</v>
      </c>
      <c r="BA37" s="23">
        <f t="shared" si="0"/>
        <v>0</v>
      </c>
      <c r="BB37" s="23">
        <f>IF(AND(ISNUMBER(H37),Metadata!$H$5&gt;Metadata!$G$5),MAX(Metadata!$G$5-H37,0,H37-Metadata!$H$5)/(Metadata!$H$5-Metadata!$G$5),"Missing input")</f>
        <v>0</v>
      </c>
      <c r="BC37" s="23">
        <f>IF(AND(ISNUMBER(L37),Metadata!$H$8&gt;Metadata!$G$8),MAX(Metadata!$G$8-L37,0,L37-Metadata!$H$8)/(Metadata!$H$8-Metadata!$G$8),"Missing input")</f>
        <v>0</v>
      </c>
    </row>
    <row r="38" spans="1:55" x14ac:dyDescent="0.2">
      <c r="A38" t="s">
        <v>102</v>
      </c>
      <c r="B38" t="s">
        <v>83</v>
      </c>
      <c r="C38" t="s">
        <v>84</v>
      </c>
      <c r="D38" t="s">
        <v>55</v>
      </c>
      <c r="E38" t="s">
        <v>56</v>
      </c>
      <c r="F38">
        <v>17</v>
      </c>
      <c r="G38">
        <v>46.390186033042063</v>
      </c>
      <c r="H38">
        <v>16.21387510983789</v>
      </c>
      <c r="I38">
        <v>1.57</v>
      </c>
      <c r="J38">
        <v>1.5</v>
      </c>
      <c r="K38">
        <v>0.27</v>
      </c>
      <c r="L38">
        <v>0.18</v>
      </c>
      <c r="M38">
        <v>8</v>
      </c>
      <c r="N38">
        <v>250</v>
      </c>
      <c r="Q38">
        <v>0.26808257310632899</v>
      </c>
      <c r="R38">
        <v>2210215.3729856689</v>
      </c>
      <c r="S38">
        <v>-3.3204448214336079E-3</v>
      </c>
      <c r="T38">
        <v>992.19235058261199</v>
      </c>
      <c r="U38">
        <v>654.52877662702269</v>
      </c>
      <c r="V38">
        <v>219.5115819873036</v>
      </c>
      <c r="W38">
        <v>2.9817505331672209</v>
      </c>
      <c r="X38" t="s">
        <v>57</v>
      </c>
      <c r="Z38">
        <v>648.91600000000005</v>
      </c>
      <c r="AA38">
        <v>95.163399999999996</v>
      </c>
      <c r="AB38">
        <v>51.296399999999998</v>
      </c>
      <c r="AC38">
        <v>12.432100926585891</v>
      </c>
      <c r="AD38">
        <v>72.785654733387872</v>
      </c>
      <c r="AE38">
        <v>72.785654733387872</v>
      </c>
      <c r="AF38" t="s">
        <v>58</v>
      </c>
      <c r="AG38" t="b">
        <v>1</v>
      </c>
      <c r="AH38">
        <v>5.8546544275341823</v>
      </c>
      <c r="AI38">
        <v>647.53300000000002</v>
      </c>
      <c r="AJ38">
        <v>91.310100000000006</v>
      </c>
      <c r="AK38">
        <v>51.757599999999996</v>
      </c>
      <c r="AL38">
        <v>12.144708167770419</v>
      </c>
      <c r="AM38">
        <v>72.817378755582951</v>
      </c>
      <c r="AN38">
        <v>72.817378755582951</v>
      </c>
      <c r="AO38" t="s">
        <v>58</v>
      </c>
      <c r="AP38" t="b">
        <v>1</v>
      </c>
      <c r="AQ38">
        <v>5.9958113237191997</v>
      </c>
      <c r="AR38">
        <v>648.91600000000005</v>
      </c>
      <c r="AS38">
        <v>72.817378755582951</v>
      </c>
      <c r="AT38">
        <v>5.9958113237191997</v>
      </c>
      <c r="AU38" s="5">
        <v>54.394581930420465</v>
      </c>
      <c r="AV38" s="5">
        <v>77.696143132206998</v>
      </c>
      <c r="AW38" s="5">
        <v>4.4788710588182425</v>
      </c>
      <c r="AX38" s="5">
        <v>6.3975306824083855</v>
      </c>
      <c r="AY38" t="s">
        <v>59</v>
      </c>
      <c r="AZ38" t="s">
        <v>60</v>
      </c>
      <c r="BA38" s="23">
        <f t="shared" si="0"/>
        <v>0</v>
      </c>
      <c r="BB38" s="23">
        <f>IF(AND(ISNUMBER(H38),Metadata!$H$5&gt;Metadata!$G$5),MAX(Metadata!$G$5-H38,0,H38-Metadata!$H$5)/(Metadata!$H$5-Metadata!$G$5),"Missing input")</f>
        <v>0</v>
      </c>
      <c r="BC38" s="23">
        <f>IF(AND(ISNUMBER(L38),Metadata!$H$8&gt;Metadata!$G$8),MAX(Metadata!$G$8-L38,0,L38-Metadata!$H$8)/(Metadata!$H$8-Metadata!$G$8),"Missing input")</f>
        <v>0</v>
      </c>
    </row>
    <row r="39" spans="1:55" x14ac:dyDescent="0.2">
      <c r="A39" t="s">
        <v>103</v>
      </c>
      <c r="B39" t="s">
        <v>83</v>
      </c>
      <c r="C39" t="s">
        <v>84</v>
      </c>
      <c r="D39" t="s">
        <v>55</v>
      </c>
      <c r="E39" t="s">
        <v>56</v>
      </c>
      <c r="F39">
        <v>18</v>
      </c>
      <c r="G39">
        <v>54.165408264435399</v>
      </c>
      <c r="H39">
        <v>18.25275816413232</v>
      </c>
      <c r="I39">
        <v>1.57</v>
      </c>
      <c r="J39">
        <v>1.5</v>
      </c>
      <c r="K39">
        <v>0.27</v>
      </c>
      <c r="L39">
        <v>0.18</v>
      </c>
      <c r="M39">
        <v>8</v>
      </c>
      <c r="N39">
        <v>250</v>
      </c>
      <c r="Q39">
        <v>0.26808257310632899</v>
      </c>
      <c r="R39">
        <v>2919725.6187367002</v>
      </c>
      <c r="S39">
        <v>-3.513205580290538E-3</v>
      </c>
      <c r="T39">
        <v>1250.244632367107</v>
      </c>
      <c r="U39">
        <v>681.86449508503438</v>
      </c>
      <c r="V39">
        <v>276.6027947714839</v>
      </c>
      <c r="W39">
        <v>2.4651395718845079</v>
      </c>
      <c r="X39" t="s">
        <v>57</v>
      </c>
      <c r="Z39">
        <v>774.875</v>
      </c>
      <c r="AA39">
        <v>95.163399999999996</v>
      </c>
      <c r="AB39">
        <v>47.882399999999997</v>
      </c>
      <c r="AC39">
        <v>12.59825045782048</v>
      </c>
      <c r="AD39">
        <v>64.237765551579699</v>
      </c>
      <c r="AE39">
        <v>64.237765551579699</v>
      </c>
      <c r="AF39" t="s">
        <v>58</v>
      </c>
      <c r="AG39" t="b">
        <v>1</v>
      </c>
      <c r="AH39">
        <v>5.0989433625447207</v>
      </c>
      <c r="AI39">
        <v>773.16499999999996</v>
      </c>
      <c r="AJ39">
        <v>91.310100000000006</v>
      </c>
      <c r="AK39">
        <v>47.978900000000003</v>
      </c>
      <c r="AL39">
        <v>12.435475366234391</v>
      </c>
      <c r="AM39">
        <v>64.044980437290135</v>
      </c>
      <c r="AN39">
        <v>64.044980437290135</v>
      </c>
      <c r="AO39" t="s">
        <v>58</v>
      </c>
      <c r="AP39" t="b">
        <v>1</v>
      </c>
      <c r="AQ39">
        <v>5.150183531478759</v>
      </c>
      <c r="AR39">
        <v>774.875</v>
      </c>
      <c r="AS39">
        <v>64.237765551579699</v>
      </c>
      <c r="AT39">
        <v>5.150183531478759</v>
      </c>
      <c r="AU39" s="5">
        <v>47.985610867030033</v>
      </c>
      <c r="AV39" s="5">
        <v>68.541695843535535</v>
      </c>
      <c r="AW39" s="5">
        <v>3.8471870980146328</v>
      </c>
      <c r="AX39" s="5">
        <v>5.4952458280878353</v>
      </c>
      <c r="AY39" t="s">
        <v>59</v>
      </c>
      <c r="AZ39" t="s">
        <v>60</v>
      </c>
      <c r="BA39" s="23">
        <f t="shared" si="0"/>
        <v>0</v>
      </c>
      <c r="BB39" s="23">
        <f>IF(AND(ISNUMBER(H39),Metadata!$H$5&gt;Metadata!$G$5),MAX(Metadata!$G$5-H39,0,H39-Metadata!$H$5)/(Metadata!$H$5-Metadata!$G$5),"Missing input")</f>
        <v>0</v>
      </c>
      <c r="BC39" s="23">
        <f>IF(AND(ISNUMBER(L39),Metadata!$H$8&gt;Metadata!$G$8),MAX(Metadata!$G$8-L39,0,L39-Metadata!$H$8)/(Metadata!$H$8-Metadata!$G$8),"Missing input")</f>
        <v>0</v>
      </c>
    </row>
    <row r="40" spans="1:55" x14ac:dyDescent="0.2">
      <c r="A40" t="s">
        <v>104</v>
      </c>
      <c r="B40" t="s">
        <v>83</v>
      </c>
      <c r="C40" t="s">
        <v>84</v>
      </c>
      <c r="D40" t="s">
        <v>55</v>
      </c>
      <c r="E40" t="s">
        <v>56</v>
      </c>
      <c r="F40">
        <v>19</v>
      </c>
      <c r="G40">
        <v>21.707483118551171</v>
      </c>
      <c r="H40">
        <v>43.497365085878002</v>
      </c>
      <c r="I40">
        <v>1.57</v>
      </c>
      <c r="J40">
        <v>1.5</v>
      </c>
      <c r="K40">
        <v>0.27</v>
      </c>
      <c r="L40">
        <v>0.18</v>
      </c>
      <c r="M40">
        <v>8</v>
      </c>
      <c r="N40">
        <v>250</v>
      </c>
      <c r="Q40">
        <v>0.26808257310632899</v>
      </c>
      <c r="R40">
        <v>2786376.2799094608</v>
      </c>
      <c r="S40">
        <v>-4.2897021208538654E-3</v>
      </c>
      <c r="T40">
        <v>1327.844178866673</v>
      </c>
      <c r="U40">
        <v>547.31919043874063</v>
      </c>
      <c r="V40">
        <v>293.77083603244972</v>
      </c>
      <c r="W40">
        <v>1.863082114721164</v>
      </c>
      <c r="X40" t="s">
        <v>57</v>
      </c>
      <c r="Z40">
        <v>545.44200000000001</v>
      </c>
      <c r="AA40">
        <v>81.749799999999993</v>
      </c>
      <c r="AB40">
        <v>25.7987</v>
      </c>
      <c r="AC40">
        <v>12.370704355016541</v>
      </c>
      <c r="AD40">
        <v>25.86109482606733</v>
      </c>
      <c r="AE40">
        <v>25.86109482606733</v>
      </c>
      <c r="AF40" t="s">
        <v>58</v>
      </c>
      <c r="AG40" t="b">
        <v>1</v>
      </c>
      <c r="AH40">
        <v>2.0905111046146851</v>
      </c>
      <c r="AI40">
        <v>546.69500000000005</v>
      </c>
      <c r="AJ40">
        <v>90.859800000000007</v>
      </c>
      <c r="AK40">
        <v>26.287600000000001</v>
      </c>
      <c r="AL40">
        <v>11.46051520539546</v>
      </c>
      <c r="AM40">
        <v>27.90160149949536</v>
      </c>
      <c r="AN40">
        <v>27.90160149949536</v>
      </c>
      <c r="AO40" t="s">
        <v>58</v>
      </c>
      <c r="AP40" t="b">
        <v>1</v>
      </c>
      <c r="AQ40">
        <v>2.4345852694615031</v>
      </c>
      <c r="AR40">
        <v>546.69500000000005</v>
      </c>
      <c r="AS40">
        <v>27.90160149949536</v>
      </c>
      <c r="AT40">
        <v>2.4345852694615031</v>
      </c>
      <c r="AU40" s="5">
        <v>20.842496320123033</v>
      </c>
      <c r="AV40" s="5">
        <v>29.771008799961546</v>
      </c>
      <c r="AW40" s="5">
        <v>1.8186351962877427</v>
      </c>
      <c r="AX40" s="5">
        <v>2.5977024825154236</v>
      </c>
      <c r="AY40" t="s">
        <v>64</v>
      </c>
      <c r="AZ40" t="s">
        <v>7</v>
      </c>
      <c r="BA40" s="23">
        <f t="shared" si="0"/>
        <v>9.4596678167087334E-2</v>
      </c>
      <c r="BB40" s="23">
        <f>IF(AND(ISNUMBER(H40),Metadata!$H$5&gt;Metadata!$G$5),MAX(Metadata!$G$5-H40,0,H40-Metadata!$H$5)/(Metadata!$H$5-Metadata!$G$5),"Missing input")</f>
        <v>9.4596678167087334E-2</v>
      </c>
      <c r="BC40" s="23">
        <f>IF(AND(ISNUMBER(L40),Metadata!$H$8&gt;Metadata!$G$8),MAX(Metadata!$G$8-L40,0,L40-Metadata!$H$8)/(Metadata!$H$8-Metadata!$G$8),"Missing input")</f>
        <v>0</v>
      </c>
    </row>
    <row r="41" spans="1:55" x14ac:dyDescent="0.2">
      <c r="A41" t="s">
        <v>105</v>
      </c>
      <c r="B41" t="s">
        <v>83</v>
      </c>
      <c r="C41" t="s">
        <v>84</v>
      </c>
      <c r="D41" t="s">
        <v>55</v>
      </c>
      <c r="E41" t="s">
        <v>56</v>
      </c>
      <c r="F41">
        <v>20</v>
      </c>
      <c r="G41">
        <v>53.035991243371583</v>
      </c>
      <c r="H41">
        <v>30.34654288470276</v>
      </c>
      <c r="I41">
        <v>1.57</v>
      </c>
      <c r="J41">
        <v>1.5</v>
      </c>
      <c r="K41">
        <v>0.27</v>
      </c>
      <c r="L41">
        <v>0.18</v>
      </c>
      <c r="M41">
        <v>8</v>
      </c>
      <c r="N41">
        <v>250</v>
      </c>
      <c r="Q41">
        <v>0.26808257310632899</v>
      </c>
      <c r="R41">
        <v>4782098.2730990862</v>
      </c>
      <c r="S41">
        <v>-4.2505410636309313E-3</v>
      </c>
      <c r="T41">
        <v>2064.392118408005</v>
      </c>
      <c r="U41">
        <v>678.02162566087623</v>
      </c>
      <c r="V41">
        <v>456.72392000177121</v>
      </c>
      <c r="W41">
        <v>1.4845327690703101</v>
      </c>
      <c r="X41" t="s">
        <v>57</v>
      </c>
      <c r="Z41">
        <v>972.07799999999997</v>
      </c>
      <c r="AA41">
        <v>95.163399999999996</v>
      </c>
      <c r="AB41">
        <v>33.779499999999999</v>
      </c>
      <c r="AC41">
        <v>13.558938828584351</v>
      </c>
      <c r="AD41">
        <v>37.371071787826267</v>
      </c>
      <c r="AE41">
        <v>37.371071787826267</v>
      </c>
      <c r="AF41" t="s">
        <v>58</v>
      </c>
      <c r="AG41" t="b">
        <v>1</v>
      </c>
      <c r="AH41">
        <v>2.7561944382433698</v>
      </c>
      <c r="AI41">
        <v>967.71500000000003</v>
      </c>
      <c r="AJ41">
        <v>91.310100000000006</v>
      </c>
      <c r="AK41">
        <v>32.289299999999997</v>
      </c>
      <c r="AL41">
        <v>13.07896587601326</v>
      </c>
      <c r="AM41">
        <v>36.813380230182027</v>
      </c>
      <c r="AN41">
        <v>36.813380230182027</v>
      </c>
      <c r="AO41" t="s">
        <v>58</v>
      </c>
      <c r="AP41" t="b">
        <v>1</v>
      </c>
      <c r="AQ41">
        <v>2.8147011452715489</v>
      </c>
      <c r="AR41">
        <v>972.07799999999997</v>
      </c>
      <c r="AS41">
        <v>37.371071787826267</v>
      </c>
      <c r="AT41">
        <v>2.8147011452715489</v>
      </c>
      <c r="AU41" s="5">
        <v>27.916190625506221</v>
      </c>
      <c r="AV41" s="5">
        <v>39.874933597610628</v>
      </c>
      <c r="AW41" s="5">
        <v>2.1025817555178472</v>
      </c>
      <c r="AX41" s="5">
        <v>3.0032861220047424</v>
      </c>
      <c r="AY41" t="s">
        <v>59</v>
      </c>
      <c r="AZ41" t="s">
        <v>60</v>
      </c>
      <c r="BA41" s="23">
        <f t="shared" si="0"/>
        <v>0</v>
      </c>
      <c r="BB41" s="23">
        <f>IF(AND(ISNUMBER(H41),Metadata!$H$5&gt;Metadata!$G$5),MAX(Metadata!$G$5-H41,0,H41-Metadata!$H$5)/(Metadata!$H$5-Metadata!$G$5),"Missing input")</f>
        <v>0</v>
      </c>
      <c r="BC41" s="23">
        <f>IF(AND(ISNUMBER(L41),Metadata!$H$8&gt;Metadata!$G$8),MAX(Metadata!$G$8-L41,0,L41-Metadata!$H$8)/(Metadata!$H$8-Metadata!$G$8),"Missing input")</f>
        <v>0</v>
      </c>
    </row>
    <row r="42" spans="1:55" x14ac:dyDescent="0.2">
      <c r="A42" t="s">
        <v>106</v>
      </c>
      <c r="B42" t="s">
        <v>107</v>
      </c>
      <c r="C42" t="s">
        <v>84</v>
      </c>
      <c r="D42" t="s">
        <v>55</v>
      </c>
      <c r="E42" t="s">
        <v>56</v>
      </c>
      <c r="F42">
        <v>1</v>
      </c>
      <c r="G42">
        <v>22.11413992487228</v>
      </c>
      <c r="H42">
        <v>28.832065765515338</v>
      </c>
      <c r="I42">
        <v>1.57</v>
      </c>
      <c r="J42">
        <v>1.5</v>
      </c>
      <c r="K42">
        <v>0.2</v>
      </c>
      <c r="L42">
        <v>0.12</v>
      </c>
      <c r="M42">
        <v>6</v>
      </c>
      <c r="N42">
        <v>190</v>
      </c>
      <c r="Q42">
        <v>0.1984163781214606</v>
      </c>
      <c r="R42">
        <v>1866510.334985178</v>
      </c>
      <c r="S42">
        <v>-4.0570039655936294E-3</v>
      </c>
      <c r="T42">
        <v>931.93139645531812</v>
      </c>
      <c r="U42">
        <v>444.4174030626412</v>
      </c>
      <c r="V42">
        <v>206.1795124901146</v>
      </c>
      <c r="W42">
        <v>2.1554876995062688</v>
      </c>
      <c r="X42" t="s">
        <v>57</v>
      </c>
      <c r="Z42">
        <v>508.80799999999999</v>
      </c>
      <c r="AA42">
        <v>95.163399999999996</v>
      </c>
      <c r="AB42">
        <v>35.7943</v>
      </c>
      <c r="AC42">
        <v>13.57631649009673</v>
      </c>
      <c r="AD42">
        <v>41.508771357161272</v>
      </c>
      <c r="AE42">
        <v>41.508771357161272</v>
      </c>
      <c r="AF42" t="s">
        <v>58</v>
      </c>
      <c r="AG42" t="b">
        <v>1</v>
      </c>
      <c r="AH42">
        <v>3.0574398724013192</v>
      </c>
      <c r="AI42">
        <v>504.81200000000001</v>
      </c>
      <c r="AJ42">
        <v>91.310100000000006</v>
      </c>
      <c r="AK42">
        <v>32.289299999999997</v>
      </c>
      <c r="AL42">
        <v>13.00124199248121</v>
      </c>
      <c r="AM42">
        <v>41.956706808049873</v>
      </c>
      <c r="AN42">
        <v>41.956706808049873</v>
      </c>
      <c r="AO42" t="s">
        <v>58</v>
      </c>
      <c r="AP42" t="b">
        <v>1</v>
      </c>
      <c r="AQ42">
        <v>3.2271306720014898</v>
      </c>
      <c r="AR42">
        <v>508.80799999999999</v>
      </c>
      <c r="AS42">
        <v>41.956706808049873</v>
      </c>
      <c r="AT42">
        <v>3.2271306720014898</v>
      </c>
      <c r="AU42" s="5">
        <v>31.341659985613255</v>
      </c>
      <c r="AV42" s="5">
        <v>44.76780616418921</v>
      </c>
      <c r="AW42" s="5">
        <v>2.4106666119851128</v>
      </c>
      <c r="AX42" s="5">
        <v>3.4433484270255894</v>
      </c>
      <c r="AY42" t="s">
        <v>59</v>
      </c>
      <c r="AZ42" t="s">
        <v>60</v>
      </c>
      <c r="BA42" s="23">
        <f t="shared" si="0"/>
        <v>0</v>
      </c>
      <c r="BB42" s="23">
        <f>IF(AND(ISNUMBER(H42),Metadata!$H$5&gt;Metadata!$G$5),MAX(Metadata!$G$5-H42,0,H42-Metadata!$H$5)/(Metadata!$H$5-Metadata!$G$5),"Missing input")</f>
        <v>0</v>
      </c>
      <c r="BC42" s="23">
        <f>IF(AND(ISNUMBER(L42),Metadata!$H$8&gt;Metadata!$G$8),MAX(Metadata!$G$8-L42,0,L42-Metadata!$H$8)/(Metadata!$H$8-Metadata!$G$8),"Missing input")</f>
        <v>0</v>
      </c>
    </row>
    <row r="43" spans="1:55" x14ac:dyDescent="0.2">
      <c r="A43" t="s">
        <v>108</v>
      </c>
      <c r="B43" t="s">
        <v>107</v>
      </c>
      <c r="C43" t="s">
        <v>84</v>
      </c>
      <c r="D43" t="s">
        <v>55</v>
      </c>
      <c r="E43" t="s">
        <v>56</v>
      </c>
      <c r="F43">
        <v>2</v>
      </c>
      <c r="G43">
        <v>39.289372610104301</v>
      </c>
      <c r="H43">
        <v>11.43599740060767</v>
      </c>
      <c r="I43">
        <v>1.57</v>
      </c>
      <c r="J43">
        <v>1.5</v>
      </c>
      <c r="K43">
        <v>0.2</v>
      </c>
      <c r="L43">
        <v>0.12</v>
      </c>
      <c r="M43">
        <v>6</v>
      </c>
      <c r="N43">
        <v>190</v>
      </c>
      <c r="Q43">
        <v>0.1984163781214606</v>
      </c>
      <c r="R43">
        <v>1301660.814121977</v>
      </c>
      <c r="S43">
        <v>-2.7693819295310351E-3</v>
      </c>
      <c r="T43">
        <v>682.24591859950192</v>
      </c>
      <c r="U43">
        <v>522.4146276206319</v>
      </c>
      <c r="V43">
        <v>150.93936252201371</v>
      </c>
      <c r="W43">
        <v>3.4610893996881731</v>
      </c>
      <c r="X43" t="s">
        <v>57</v>
      </c>
      <c r="Z43">
        <v>482.577</v>
      </c>
      <c r="AA43">
        <v>95.163399999999996</v>
      </c>
      <c r="AB43">
        <v>61.986899999999999</v>
      </c>
      <c r="AC43">
        <v>12.187290487316419</v>
      </c>
      <c r="AD43">
        <v>94.620603964893391</v>
      </c>
      <c r="AE43">
        <v>94.620603964893391</v>
      </c>
      <c r="AF43" t="s">
        <v>58</v>
      </c>
      <c r="AG43" t="b">
        <v>1</v>
      </c>
      <c r="AH43">
        <v>7.7638753308922199</v>
      </c>
      <c r="AI43">
        <v>481.697</v>
      </c>
      <c r="AJ43">
        <v>91.310100000000006</v>
      </c>
      <c r="AK43">
        <v>61.372599999999998</v>
      </c>
      <c r="AL43">
        <v>11.710104038192011</v>
      </c>
      <c r="AN43">
        <v>91.310100000000006</v>
      </c>
      <c r="AO43" t="s">
        <v>62</v>
      </c>
      <c r="AP43" t="b">
        <v>0</v>
      </c>
      <c r="AQ43">
        <v>7.7975481432270781</v>
      </c>
      <c r="AR43">
        <v>482.577</v>
      </c>
      <c r="AS43">
        <v>94.620603964893391</v>
      </c>
      <c r="AT43">
        <v>7.7975481432270781</v>
      </c>
      <c r="AU43" s="5">
        <v>70.681591161775359</v>
      </c>
      <c r="AV43" s="5">
        <v>100.96018443054125</v>
      </c>
      <c r="AW43" s="5">
        <v>5.8247684629906269</v>
      </c>
      <c r="AX43" s="5">
        <v>8.3199838688232912</v>
      </c>
      <c r="AY43" t="s">
        <v>59</v>
      </c>
      <c r="AZ43" t="s">
        <v>60</v>
      </c>
      <c r="BA43" s="23">
        <f t="shared" si="0"/>
        <v>0</v>
      </c>
      <c r="BB43" s="23">
        <f>IF(AND(ISNUMBER(H43),Metadata!$H$5&gt;Metadata!$G$5),MAX(Metadata!$G$5-H43,0,H43-Metadata!$H$5)/(Metadata!$H$5-Metadata!$G$5),"Missing input")</f>
        <v>0</v>
      </c>
      <c r="BC43" s="23">
        <f>IF(AND(ISNUMBER(L43),Metadata!$H$8&gt;Metadata!$G$8),MAX(Metadata!$G$8-L43,0,L43-Metadata!$H$8)/(Metadata!$H$8-Metadata!$G$8),"Missing input")</f>
        <v>0</v>
      </c>
    </row>
    <row r="44" spans="1:55" x14ac:dyDescent="0.2">
      <c r="A44" t="s">
        <v>109</v>
      </c>
      <c r="B44" t="s">
        <v>107</v>
      </c>
      <c r="C44" t="s">
        <v>84</v>
      </c>
      <c r="D44" t="s">
        <v>55</v>
      </c>
      <c r="E44" t="s">
        <v>56</v>
      </c>
      <c r="F44">
        <v>3</v>
      </c>
      <c r="G44">
        <v>50.720967279676117</v>
      </c>
      <c r="H44">
        <v>41.572102032205443</v>
      </c>
      <c r="I44">
        <v>1.57</v>
      </c>
      <c r="J44">
        <v>1.5</v>
      </c>
      <c r="K44">
        <v>0.2</v>
      </c>
      <c r="L44">
        <v>0.12</v>
      </c>
      <c r="M44">
        <v>6</v>
      </c>
      <c r="N44">
        <v>190</v>
      </c>
      <c r="Q44">
        <v>0.1984163781214606</v>
      </c>
      <c r="R44">
        <v>6279453.0057685468</v>
      </c>
      <c r="S44">
        <v>-4.1470891705713058E-3</v>
      </c>
      <c r="T44">
        <v>2795.5189136654449</v>
      </c>
      <c r="U44">
        <v>564.94871284988631</v>
      </c>
      <c r="V44">
        <v>618.47763576669149</v>
      </c>
      <c r="W44">
        <v>0.91345051167379976</v>
      </c>
      <c r="X44" t="s">
        <v>87</v>
      </c>
      <c r="Z44">
        <v>1000.47</v>
      </c>
      <c r="AA44">
        <v>95.163399999999996</v>
      </c>
      <c r="AB44">
        <v>25.7987</v>
      </c>
      <c r="AC44">
        <v>12.64859976118875</v>
      </c>
      <c r="AD44">
        <v>25.888906524804241</v>
      </c>
      <c r="AE44">
        <v>25.888906524804241</v>
      </c>
      <c r="AF44" t="s">
        <v>58</v>
      </c>
      <c r="AG44" t="b">
        <v>1</v>
      </c>
      <c r="AH44">
        <v>2.0467804352733459</v>
      </c>
      <c r="AI44">
        <v>1003.18</v>
      </c>
      <c r="AJ44">
        <v>91.310100000000006</v>
      </c>
      <c r="AK44">
        <v>25.858899999999998</v>
      </c>
      <c r="AL44">
        <v>11.63579833119384</v>
      </c>
      <c r="AM44">
        <v>26.33827199726143</v>
      </c>
      <c r="AN44">
        <v>26.33827199726143</v>
      </c>
      <c r="AO44" t="s">
        <v>58</v>
      </c>
      <c r="AP44" t="b">
        <v>1</v>
      </c>
      <c r="AQ44">
        <v>2.263555215343708</v>
      </c>
      <c r="AR44">
        <v>1003.18</v>
      </c>
      <c r="AS44">
        <v>26.33827199726143</v>
      </c>
      <c r="AT44">
        <v>2.263555215343708</v>
      </c>
      <c r="AU44" s="5" t="s">
        <v>88</v>
      </c>
      <c r="AV44" s="5" t="s">
        <v>88</v>
      </c>
      <c r="AW44" s="5" t="s">
        <v>88</v>
      </c>
      <c r="AX44" s="5" t="s">
        <v>88</v>
      </c>
      <c r="AY44" t="s">
        <v>64</v>
      </c>
      <c r="AZ44" t="s">
        <v>7</v>
      </c>
      <c r="BA44" s="23">
        <f t="shared" si="0"/>
        <v>4.6063612035701466E-2</v>
      </c>
      <c r="BB44" s="23">
        <f>IF(AND(ISNUMBER(H44),Metadata!$H$5&gt;Metadata!$G$5),MAX(Metadata!$G$5-H44,0,H44-Metadata!$H$5)/(Metadata!$H$5-Metadata!$G$5),"Missing input")</f>
        <v>4.6063612035701466E-2</v>
      </c>
      <c r="BC44" s="23">
        <f>IF(AND(ISNUMBER(L44),Metadata!$H$8&gt;Metadata!$G$8),MAX(Metadata!$G$8-L44,0,L44-Metadata!$H$8)/(Metadata!$H$8-Metadata!$G$8),"Missing input")</f>
        <v>0</v>
      </c>
    </row>
    <row r="45" spans="1:55" x14ac:dyDescent="0.2">
      <c r="A45" t="s">
        <v>110</v>
      </c>
      <c r="B45" t="s">
        <v>107</v>
      </c>
      <c r="C45" t="s">
        <v>84</v>
      </c>
      <c r="D45" t="s">
        <v>55</v>
      </c>
      <c r="E45" t="s">
        <v>56</v>
      </c>
      <c r="F45">
        <v>4</v>
      </c>
      <c r="G45">
        <v>40.065365059576777</v>
      </c>
      <c r="H45">
        <v>25.23064360495534</v>
      </c>
      <c r="I45">
        <v>1.57</v>
      </c>
      <c r="J45">
        <v>1.5</v>
      </c>
      <c r="K45">
        <v>0.2</v>
      </c>
      <c r="L45">
        <v>0.12</v>
      </c>
      <c r="M45">
        <v>6</v>
      </c>
      <c r="N45">
        <v>190</v>
      </c>
      <c r="Q45">
        <v>0.1984163781214606</v>
      </c>
      <c r="R45">
        <v>2986346.165161836</v>
      </c>
      <c r="S45">
        <v>-3.9039603540481581E-3</v>
      </c>
      <c r="T45">
        <v>1323.2635029237761</v>
      </c>
      <c r="U45">
        <v>525.48345003653117</v>
      </c>
      <c r="V45">
        <v>292.75741215127789</v>
      </c>
      <c r="W45">
        <v>1.794944989351783</v>
      </c>
      <c r="X45" t="s">
        <v>57</v>
      </c>
      <c r="Z45">
        <v>726.46400000000006</v>
      </c>
      <c r="AA45">
        <v>95.163399999999996</v>
      </c>
      <c r="AB45">
        <v>37.809100000000001</v>
      </c>
      <c r="AC45">
        <v>13.097178097982709</v>
      </c>
      <c r="AD45">
        <v>44.991043073384311</v>
      </c>
      <c r="AE45">
        <v>44.991043073384311</v>
      </c>
      <c r="AF45" t="s">
        <v>58</v>
      </c>
      <c r="AG45" t="b">
        <v>1</v>
      </c>
      <c r="AH45">
        <v>3.4351707472248569</v>
      </c>
      <c r="AI45">
        <v>725.42200000000003</v>
      </c>
      <c r="AJ45">
        <v>91.310100000000006</v>
      </c>
      <c r="AK45">
        <v>38.312600000000003</v>
      </c>
      <c r="AL45">
        <v>12.82971603397929</v>
      </c>
      <c r="AM45">
        <v>44.989842534200697</v>
      </c>
      <c r="AN45">
        <v>44.989842534200697</v>
      </c>
      <c r="AO45" t="s">
        <v>58</v>
      </c>
      <c r="AP45" t="b">
        <v>1</v>
      </c>
      <c r="AQ45">
        <v>3.506690437656284</v>
      </c>
      <c r="AR45">
        <v>726.46400000000006</v>
      </c>
      <c r="AS45">
        <v>44.991043073384311</v>
      </c>
      <c r="AT45">
        <v>3.506690437656284</v>
      </c>
      <c r="AU45" s="5">
        <v>33.608309175818079</v>
      </c>
      <c r="AV45" s="5">
        <v>48.005442959301057</v>
      </c>
      <c r="AW45" s="5">
        <v>2.6194977569292441</v>
      </c>
      <c r="AX45" s="5">
        <v>3.7416386969792548</v>
      </c>
      <c r="AY45" t="s">
        <v>59</v>
      </c>
      <c r="AZ45" t="s">
        <v>60</v>
      </c>
      <c r="BA45" s="23">
        <f t="shared" si="0"/>
        <v>0</v>
      </c>
      <c r="BB45" s="23">
        <f>IF(AND(ISNUMBER(H45),Metadata!$H$5&gt;Metadata!$G$5),MAX(Metadata!$G$5-H45,0,H45-Metadata!$H$5)/(Metadata!$H$5-Metadata!$G$5),"Missing input")</f>
        <v>0</v>
      </c>
      <c r="BC45" s="23">
        <f>IF(AND(ISNUMBER(L45),Metadata!$H$8&gt;Metadata!$G$8),MAX(Metadata!$G$8-L45,0,L45-Metadata!$H$8)/(Metadata!$H$8-Metadata!$G$8),"Missing input")</f>
        <v>0</v>
      </c>
    </row>
    <row r="46" spans="1:55" x14ac:dyDescent="0.2">
      <c r="A46" t="s">
        <v>111</v>
      </c>
      <c r="B46" t="s">
        <v>107</v>
      </c>
      <c r="C46" t="s">
        <v>84</v>
      </c>
      <c r="D46" t="s">
        <v>55</v>
      </c>
      <c r="E46" t="s">
        <v>56</v>
      </c>
      <c r="F46">
        <v>5</v>
      </c>
      <c r="G46">
        <v>44.691650234033148</v>
      </c>
      <c r="H46">
        <v>35.278860063057749</v>
      </c>
      <c r="I46">
        <v>1.57</v>
      </c>
      <c r="J46">
        <v>1.5</v>
      </c>
      <c r="K46">
        <v>0.2</v>
      </c>
      <c r="L46">
        <v>0.12</v>
      </c>
      <c r="M46">
        <v>6</v>
      </c>
      <c r="N46">
        <v>190</v>
      </c>
      <c r="Q46">
        <v>0.1984163781214606</v>
      </c>
      <c r="R46">
        <v>4683732.748780732</v>
      </c>
      <c r="S46">
        <v>-4.1797855998173157E-3</v>
      </c>
      <c r="T46">
        <v>2061.9786008310161</v>
      </c>
      <c r="U46">
        <v>543.19277434740832</v>
      </c>
      <c r="V46">
        <v>456.18995593606547</v>
      </c>
      <c r="W46">
        <v>1.1907162077534561</v>
      </c>
      <c r="X46" t="s">
        <v>57</v>
      </c>
      <c r="Z46">
        <v>882.28399999999999</v>
      </c>
      <c r="AA46">
        <v>95.163399999999996</v>
      </c>
      <c r="AB46">
        <v>28.7424</v>
      </c>
      <c r="AC46">
        <v>12.918777653631279</v>
      </c>
      <c r="AD46">
        <v>30.32430877391581</v>
      </c>
      <c r="AE46">
        <v>30.32430877391581</v>
      </c>
      <c r="AF46" t="s">
        <v>58</v>
      </c>
      <c r="AG46" t="b">
        <v>1</v>
      </c>
      <c r="AH46">
        <v>2.3473047982517201</v>
      </c>
      <c r="AI46">
        <v>886.54100000000005</v>
      </c>
      <c r="AJ46">
        <v>91.310100000000006</v>
      </c>
      <c r="AK46">
        <v>29.717099999999999</v>
      </c>
      <c r="AL46">
        <v>12.43539470994744</v>
      </c>
      <c r="AM46">
        <v>31.492359351756821</v>
      </c>
      <c r="AN46">
        <v>31.492359351756821</v>
      </c>
      <c r="AO46" t="s">
        <v>58</v>
      </c>
      <c r="AP46" t="b">
        <v>1</v>
      </c>
      <c r="AQ46">
        <v>2.5324776644657012</v>
      </c>
      <c r="AR46">
        <v>886.54100000000005</v>
      </c>
      <c r="AS46">
        <v>31.492359351756821</v>
      </c>
      <c r="AT46">
        <v>2.5324776644657012</v>
      </c>
      <c r="AU46" s="5">
        <v>23.524792435762347</v>
      </c>
      <c r="AV46" s="5">
        <v>33.602347428324528</v>
      </c>
      <c r="AW46" s="5">
        <v>1.8917608153558787</v>
      </c>
      <c r="AX46" s="5">
        <v>2.702153667984903</v>
      </c>
      <c r="AY46" t="s">
        <v>59</v>
      </c>
      <c r="AZ46" t="s">
        <v>60</v>
      </c>
      <c r="BA46" s="23">
        <f t="shared" si="0"/>
        <v>0</v>
      </c>
      <c r="BB46" s="23">
        <f>IF(AND(ISNUMBER(H46),Metadata!$H$5&gt;Metadata!$G$5),MAX(Metadata!$G$5-H46,0,H46-Metadata!$H$5)/(Metadata!$H$5-Metadata!$G$5),"Missing input")</f>
        <v>0</v>
      </c>
      <c r="BC46" s="23">
        <f>IF(AND(ISNUMBER(L46),Metadata!$H$8&gt;Metadata!$G$8),MAX(Metadata!$G$8-L46,0,L46-Metadata!$H$8)/(Metadata!$H$8-Metadata!$G$8),"Missing input")</f>
        <v>0</v>
      </c>
    </row>
    <row r="47" spans="1:55" x14ac:dyDescent="0.2">
      <c r="A47" t="s">
        <v>112</v>
      </c>
      <c r="B47" t="s">
        <v>107</v>
      </c>
      <c r="C47" t="s">
        <v>84</v>
      </c>
      <c r="D47" t="s">
        <v>55</v>
      </c>
      <c r="E47" t="s">
        <v>56</v>
      </c>
      <c r="F47">
        <v>6</v>
      </c>
      <c r="G47">
        <v>33.086500490231572</v>
      </c>
      <c r="H47">
        <v>19.79580616436397</v>
      </c>
      <c r="I47">
        <v>1.57</v>
      </c>
      <c r="J47">
        <v>1.5</v>
      </c>
      <c r="K47">
        <v>0.2</v>
      </c>
      <c r="L47">
        <v>0.12</v>
      </c>
      <c r="M47">
        <v>6</v>
      </c>
      <c r="N47">
        <v>190</v>
      </c>
      <c r="Q47">
        <v>0.1984163781214606</v>
      </c>
      <c r="R47">
        <v>1918643.176085273</v>
      </c>
      <c r="S47">
        <v>-3.5485328635727572E-3</v>
      </c>
      <c r="T47">
        <v>915.0391797947683</v>
      </c>
      <c r="U47">
        <v>496.70526759758832</v>
      </c>
      <c r="V47">
        <v>202.44229641477179</v>
      </c>
      <c r="W47">
        <v>2.453564676918695</v>
      </c>
      <c r="X47" t="s">
        <v>57</v>
      </c>
      <c r="Z47">
        <v>567.077</v>
      </c>
      <c r="AA47">
        <v>95.116500000000002</v>
      </c>
      <c r="AB47">
        <v>44.910200000000003</v>
      </c>
      <c r="AC47">
        <v>12.88531524640657</v>
      </c>
      <c r="AD47">
        <v>61.617138934054807</v>
      </c>
      <c r="AE47">
        <v>61.617138934054807</v>
      </c>
      <c r="AF47" t="s">
        <v>58</v>
      </c>
      <c r="AG47" t="b">
        <v>1</v>
      </c>
      <c r="AH47">
        <v>4.7819659632494034</v>
      </c>
      <c r="AI47">
        <v>564.54499999999996</v>
      </c>
      <c r="AJ47">
        <v>66.497100000000003</v>
      </c>
      <c r="AK47">
        <v>39.358900000000013</v>
      </c>
      <c r="AL47">
        <v>12.49326442490494</v>
      </c>
      <c r="AM47">
        <v>51.796260702370731</v>
      </c>
      <c r="AN47">
        <v>51.796260702370731</v>
      </c>
      <c r="AO47" t="s">
        <v>58</v>
      </c>
      <c r="AP47" t="b">
        <v>1</v>
      </c>
      <c r="AQ47">
        <v>4.1459348766457289</v>
      </c>
      <c r="AR47">
        <v>567.077</v>
      </c>
      <c r="AS47">
        <v>61.617138934054807</v>
      </c>
      <c r="AT47">
        <v>4.7819659632494034</v>
      </c>
      <c r="AU47" s="5">
        <v>46.028002783738941</v>
      </c>
      <c r="AV47" s="5">
        <v>65.745487242636472</v>
      </c>
      <c r="AW47" s="5">
        <v>3.5721285745473041</v>
      </c>
      <c r="AX47" s="5">
        <v>5.1023576827871135</v>
      </c>
      <c r="AY47" t="s">
        <v>59</v>
      </c>
      <c r="AZ47" t="s">
        <v>60</v>
      </c>
      <c r="BA47" s="23">
        <f t="shared" si="0"/>
        <v>0</v>
      </c>
      <c r="BB47" s="23">
        <f>IF(AND(ISNUMBER(H47),Metadata!$H$5&gt;Metadata!$G$5),MAX(Metadata!$G$5-H47,0,H47-Metadata!$H$5)/(Metadata!$H$5-Metadata!$G$5),"Missing input")</f>
        <v>0</v>
      </c>
      <c r="BC47" s="23">
        <f>IF(AND(ISNUMBER(L47),Metadata!$H$8&gt;Metadata!$G$8),MAX(Metadata!$G$8-L47,0,L47-Metadata!$H$8)/(Metadata!$H$8-Metadata!$G$8),"Missing input")</f>
        <v>0</v>
      </c>
    </row>
    <row r="48" spans="1:55" x14ac:dyDescent="0.2">
      <c r="A48" t="s">
        <v>113</v>
      </c>
      <c r="B48" t="s">
        <v>107</v>
      </c>
      <c r="C48" t="s">
        <v>84</v>
      </c>
      <c r="D48" t="s">
        <v>55</v>
      </c>
      <c r="E48" t="s">
        <v>56</v>
      </c>
      <c r="F48">
        <v>7</v>
      </c>
      <c r="G48">
        <v>42.943727860216583</v>
      </c>
      <c r="H48">
        <v>31.604415760045629</v>
      </c>
      <c r="I48">
        <v>1.57</v>
      </c>
      <c r="J48">
        <v>1.5</v>
      </c>
      <c r="K48">
        <v>0.2</v>
      </c>
      <c r="L48">
        <v>0.12</v>
      </c>
      <c r="M48">
        <v>6</v>
      </c>
      <c r="N48">
        <v>190</v>
      </c>
      <c r="Q48">
        <v>0.1984163781214606</v>
      </c>
      <c r="R48">
        <v>4025355.613741619</v>
      </c>
      <c r="S48">
        <v>-4.1319559901993666E-3</v>
      </c>
      <c r="T48">
        <v>1767.125197942283</v>
      </c>
      <c r="U48">
        <v>536.61468891279276</v>
      </c>
      <c r="V48">
        <v>390.95690219962017</v>
      </c>
      <c r="W48">
        <v>1.372567374801841</v>
      </c>
      <c r="X48" t="s">
        <v>57</v>
      </c>
      <c r="Z48">
        <v>833.61800000000005</v>
      </c>
      <c r="AA48">
        <v>95.163399999999996</v>
      </c>
      <c r="AB48">
        <v>32.016500000000001</v>
      </c>
      <c r="AC48">
        <v>13.153956352941179</v>
      </c>
      <c r="AD48">
        <v>35.114556134323109</v>
      </c>
      <c r="AE48">
        <v>35.114556134323109</v>
      </c>
      <c r="AF48" t="s">
        <v>58</v>
      </c>
      <c r="AG48" t="b">
        <v>1</v>
      </c>
      <c r="AH48">
        <v>2.6695052949960272</v>
      </c>
      <c r="AI48">
        <v>834.16</v>
      </c>
      <c r="AJ48">
        <v>91.310100000000006</v>
      </c>
      <c r="AK48">
        <v>32.289299999999997</v>
      </c>
      <c r="AL48">
        <v>12.731981899871631</v>
      </c>
      <c r="AM48">
        <v>34.982231916063533</v>
      </c>
      <c r="AN48">
        <v>34.982231916063533</v>
      </c>
      <c r="AO48" t="s">
        <v>58</v>
      </c>
      <c r="AP48" t="b">
        <v>1</v>
      </c>
      <c r="AQ48">
        <v>2.7475873113215981</v>
      </c>
      <c r="AR48">
        <v>834.16</v>
      </c>
      <c r="AS48">
        <v>35.114556134323109</v>
      </c>
      <c r="AT48">
        <v>2.7475873113215981</v>
      </c>
      <c r="AU48" s="5">
        <v>26.230573432339362</v>
      </c>
      <c r="AV48" s="5">
        <v>37.467231395322756</v>
      </c>
      <c r="AW48" s="5">
        <v>2.0524477215572339</v>
      </c>
      <c r="AX48" s="5">
        <v>2.9316756611801451</v>
      </c>
      <c r="AY48" t="s">
        <v>59</v>
      </c>
      <c r="AZ48" t="s">
        <v>60</v>
      </c>
      <c r="BA48" s="23">
        <f t="shared" si="0"/>
        <v>0</v>
      </c>
      <c r="BB48" s="23">
        <f>IF(AND(ISNUMBER(H48),Metadata!$H$5&gt;Metadata!$G$5),MAX(Metadata!$G$5-H48,0,H48-Metadata!$H$5)/(Metadata!$H$5-Metadata!$G$5),"Missing input")</f>
        <v>0</v>
      </c>
      <c r="BC48" s="23">
        <f>IF(AND(ISNUMBER(L48),Metadata!$H$8&gt;Metadata!$G$8),MAX(Metadata!$G$8-L48,0,L48-Metadata!$H$8)/(Metadata!$H$8-Metadata!$G$8),"Missing input")</f>
        <v>0</v>
      </c>
    </row>
    <row r="49" spans="1:55" x14ac:dyDescent="0.2">
      <c r="A49" t="s">
        <v>114</v>
      </c>
      <c r="B49" t="s">
        <v>107</v>
      </c>
      <c r="C49" t="s">
        <v>84</v>
      </c>
      <c r="D49" t="s">
        <v>55</v>
      </c>
      <c r="E49" t="s">
        <v>56</v>
      </c>
      <c r="F49">
        <v>8</v>
      </c>
      <c r="G49">
        <v>29.155454969686971</v>
      </c>
      <c r="H49">
        <v>7.3398505058277053</v>
      </c>
      <c r="I49">
        <v>1.57</v>
      </c>
      <c r="J49">
        <v>1.5</v>
      </c>
      <c r="K49">
        <v>0.2</v>
      </c>
      <c r="L49">
        <v>0.12</v>
      </c>
      <c r="M49">
        <v>6</v>
      </c>
      <c r="N49">
        <v>190</v>
      </c>
      <c r="Q49">
        <v>0.1984163781214606</v>
      </c>
      <c r="R49">
        <v>595711.36772068124</v>
      </c>
      <c r="S49">
        <v>-2.3500012139386389E-3</v>
      </c>
      <c r="T49">
        <v>480.50831710260849</v>
      </c>
      <c r="U49">
        <v>479.14307129277182</v>
      </c>
      <c r="V49">
        <v>106.3071498014621</v>
      </c>
      <c r="W49">
        <v>4.5071575353832127</v>
      </c>
      <c r="X49" t="s">
        <v>57</v>
      </c>
      <c r="Z49">
        <v>340.38299999999998</v>
      </c>
      <c r="AA49">
        <v>95.163399999999996</v>
      </c>
      <c r="AB49">
        <v>74.228100000000012</v>
      </c>
      <c r="AC49">
        <v>12.703640625</v>
      </c>
      <c r="AE49">
        <v>95.163399999999996</v>
      </c>
      <c r="AF49" t="s">
        <v>62</v>
      </c>
      <c r="AG49" t="b">
        <v>0</v>
      </c>
      <c r="AH49">
        <v>7.4910336972792022</v>
      </c>
      <c r="AI49">
        <v>340.173</v>
      </c>
      <c r="AJ49">
        <v>91.310100000000006</v>
      </c>
      <c r="AK49">
        <v>73.743399999999994</v>
      </c>
      <c r="AL49">
        <v>12.614853956754351</v>
      </c>
      <c r="AN49">
        <v>91.310100000000006</v>
      </c>
      <c r="AO49" t="s">
        <v>62</v>
      </c>
      <c r="AP49" t="b">
        <v>0</v>
      </c>
      <c r="AQ49">
        <v>7.2383002064887174</v>
      </c>
      <c r="AR49">
        <v>340.38299999999998</v>
      </c>
      <c r="AS49">
        <v>95.163399999999996</v>
      </c>
      <c r="AT49">
        <v>7.4910336972792022</v>
      </c>
      <c r="AU49" s="5">
        <v>71.087059799999992</v>
      </c>
      <c r="AV49" s="5">
        <v>101.53934779999999</v>
      </c>
      <c r="AW49" s="5">
        <v>5.5958021718675637</v>
      </c>
      <c r="AX49" s="5">
        <v>7.9929329549969088</v>
      </c>
      <c r="AY49" t="s">
        <v>59</v>
      </c>
      <c r="AZ49" t="s">
        <v>60</v>
      </c>
      <c r="BA49" s="23">
        <f t="shared" si="0"/>
        <v>0</v>
      </c>
      <c r="BB49" s="23">
        <f>IF(AND(ISNUMBER(H49),Metadata!$H$5&gt;Metadata!$G$5),MAX(Metadata!$G$5-H49,0,H49-Metadata!$H$5)/(Metadata!$H$5-Metadata!$G$5),"Missing input")</f>
        <v>0</v>
      </c>
      <c r="BC49" s="23">
        <f>IF(AND(ISNUMBER(L49),Metadata!$H$8&gt;Metadata!$G$8),MAX(Metadata!$G$8-L49,0,L49-Metadata!$H$8)/(Metadata!$H$8-Metadata!$G$8),"Missing input")</f>
        <v>0</v>
      </c>
    </row>
    <row r="50" spans="1:55" x14ac:dyDescent="0.2">
      <c r="A50" t="s">
        <v>115</v>
      </c>
      <c r="B50" t="s">
        <v>107</v>
      </c>
      <c r="C50" t="s">
        <v>84</v>
      </c>
      <c r="D50" t="s">
        <v>55</v>
      </c>
      <c r="E50" t="s">
        <v>56</v>
      </c>
      <c r="F50">
        <v>9</v>
      </c>
      <c r="G50">
        <v>59.748609235827082</v>
      </c>
      <c r="H50">
        <v>37.783512331141722</v>
      </c>
      <c r="I50">
        <v>1.57</v>
      </c>
      <c r="J50">
        <v>1.5</v>
      </c>
      <c r="K50">
        <v>0.2</v>
      </c>
      <c r="L50">
        <v>0.12</v>
      </c>
      <c r="M50">
        <v>6</v>
      </c>
      <c r="N50">
        <v>190</v>
      </c>
      <c r="Q50">
        <v>0.1984163781214606</v>
      </c>
      <c r="R50">
        <v>6726258.2664913209</v>
      </c>
      <c r="S50">
        <v>-4.1826103477798308E-3</v>
      </c>
      <c r="T50">
        <v>2958.9793454838732</v>
      </c>
      <c r="U50">
        <v>595.23262205484832</v>
      </c>
      <c r="V50">
        <v>654.64144811590108</v>
      </c>
      <c r="W50">
        <v>0.90924982487431083</v>
      </c>
      <c r="X50" t="s">
        <v>87</v>
      </c>
      <c r="Z50">
        <v>1127.76</v>
      </c>
      <c r="AA50">
        <v>95.163399999999996</v>
      </c>
      <c r="AB50">
        <v>27.4831</v>
      </c>
      <c r="AC50">
        <v>13.33220453172205</v>
      </c>
      <c r="AD50">
        <v>28.034484109228021</v>
      </c>
      <c r="AE50">
        <v>28.034484109228021</v>
      </c>
      <c r="AF50" t="s">
        <v>58</v>
      </c>
      <c r="AG50" t="b">
        <v>1</v>
      </c>
      <c r="AH50">
        <v>2.1027643284742599</v>
      </c>
      <c r="AI50">
        <v>1130.6500000000001</v>
      </c>
      <c r="AJ50">
        <v>91.310100000000006</v>
      </c>
      <c r="AK50">
        <v>28.002400000000002</v>
      </c>
      <c r="AL50">
        <v>12.635774618456709</v>
      </c>
      <c r="AM50">
        <v>28.903375475427421</v>
      </c>
      <c r="AN50">
        <v>28.903375475427421</v>
      </c>
      <c r="AO50" t="s">
        <v>58</v>
      </c>
      <c r="AP50" t="b">
        <v>1</v>
      </c>
      <c r="AQ50">
        <v>2.2874241072018719</v>
      </c>
      <c r="AR50">
        <v>1130.6500000000001</v>
      </c>
      <c r="AS50">
        <v>28.903375475427421</v>
      </c>
      <c r="AT50">
        <v>2.2874241072018719</v>
      </c>
      <c r="AU50" s="5" t="s">
        <v>88</v>
      </c>
      <c r="AV50" s="5" t="s">
        <v>88</v>
      </c>
      <c r="AW50" s="5" t="s">
        <v>88</v>
      </c>
      <c r="AX50" s="5" t="s">
        <v>88</v>
      </c>
      <c r="AY50" t="s">
        <v>59</v>
      </c>
      <c r="AZ50" t="s">
        <v>60</v>
      </c>
      <c r="BA50" s="23">
        <f t="shared" si="0"/>
        <v>0</v>
      </c>
      <c r="BB50" s="23">
        <f>IF(AND(ISNUMBER(H50),Metadata!$H$5&gt;Metadata!$G$5),MAX(Metadata!$G$5-H50,0,H50-Metadata!$H$5)/(Metadata!$H$5-Metadata!$G$5),"Missing input")</f>
        <v>0</v>
      </c>
      <c r="BC50" s="23">
        <f>IF(AND(ISNUMBER(L50),Metadata!$H$8&gt;Metadata!$G$8),MAX(Metadata!$G$8-L50,0,L50-Metadata!$H$8)/(Metadata!$H$8-Metadata!$G$8),"Missing input")</f>
        <v>0</v>
      </c>
    </row>
    <row r="51" spans="1:55" x14ac:dyDescent="0.2">
      <c r="A51" t="s">
        <v>116</v>
      </c>
      <c r="B51" t="s">
        <v>107</v>
      </c>
      <c r="C51" t="s">
        <v>84</v>
      </c>
      <c r="D51" t="s">
        <v>55</v>
      </c>
      <c r="E51" t="s">
        <v>56</v>
      </c>
      <c r="F51">
        <v>10</v>
      </c>
      <c r="G51">
        <v>34.746337553007109</v>
      </c>
      <c r="H51">
        <v>23.7414613202046</v>
      </c>
      <c r="I51">
        <v>1.57</v>
      </c>
      <c r="J51">
        <v>1.5</v>
      </c>
      <c r="K51">
        <v>0.2</v>
      </c>
      <c r="L51">
        <v>0.12</v>
      </c>
      <c r="M51">
        <v>6</v>
      </c>
      <c r="N51">
        <v>190</v>
      </c>
      <c r="Q51">
        <v>0.1984163781214606</v>
      </c>
      <c r="R51">
        <v>2428507.8121004719</v>
      </c>
      <c r="S51">
        <v>-3.8213681402710681E-3</v>
      </c>
      <c r="T51">
        <v>1111.217336052197</v>
      </c>
      <c r="U51">
        <v>503.80551492235242</v>
      </c>
      <c r="V51">
        <v>245.84454337438001</v>
      </c>
      <c r="W51">
        <v>2.0492849180514101</v>
      </c>
      <c r="X51" t="s">
        <v>57</v>
      </c>
      <c r="Z51">
        <v>637.26400000000001</v>
      </c>
      <c r="AA51">
        <v>95.163399999999996</v>
      </c>
      <c r="AB51">
        <v>37.809100000000001</v>
      </c>
      <c r="AC51">
        <v>13.024005796573091</v>
      </c>
      <c r="AD51">
        <v>49.033676734290559</v>
      </c>
      <c r="AE51">
        <v>49.033676734290559</v>
      </c>
      <c r="AF51" t="s">
        <v>58</v>
      </c>
      <c r="AG51" t="b">
        <v>1</v>
      </c>
      <c r="AH51">
        <v>3.7648690810005951</v>
      </c>
      <c r="AI51">
        <v>636.97299999999996</v>
      </c>
      <c r="AJ51">
        <v>91.310100000000006</v>
      </c>
      <c r="AK51">
        <v>39.358900000000013</v>
      </c>
      <c r="AL51">
        <v>12.799419917135239</v>
      </c>
      <c r="AM51">
        <v>49.131027642296559</v>
      </c>
      <c r="AN51">
        <v>49.131027642296559</v>
      </c>
      <c r="AO51" t="s">
        <v>58</v>
      </c>
      <c r="AP51" t="b">
        <v>1</v>
      </c>
      <c r="AQ51">
        <v>3.838535493043894</v>
      </c>
      <c r="AR51">
        <v>637.26400000000001</v>
      </c>
      <c r="AS51">
        <v>49.131027642296559</v>
      </c>
      <c r="AT51">
        <v>3.838535493043894</v>
      </c>
      <c r="AU51" s="5">
        <v>36.700877648795526</v>
      </c>
      <c r="AV51" s="5">
        <v>52.422806494330423</v>
      </c>
      <c r="AW51" s="5">
        <v>2.8673860133037889</v>
      </c>
      <c r="AX51" s="5">
        <v>4.0957173710778347</v>
      </c>
      <c r="AY51" t="s">
        <v>59</v>
      </c>
      <c r="AZ51" t="s">
        <v>60</v>
      </c>
      <c r="BA51" s="23">
        <f t="shared" si="0"/>
        <v>0</v>
      </c>
      <c r="BB51" s="23">
        <f>IF(AND(ISNUMBER(H51),Metadata!$H$5&gt;Metadata!$G$5),MAX(Metadata!$G$5-H51,0,H51-Metadata!$H$5)/(Metadata!$H$5-Metadata!$G$5),"Missing input")</f>
        <v>0</v>
      </c>
      <c r="BC51" s="23">
        <f>IF(AND(ISNUMBER(L51),Metadata!$H$8&gt;Metadata!$G$8),MAX(Metadata!$G$8-L51,0,L51-Metadata!$H$8)/(Metadata!$H$8-Metadata!$G$8),"Missing input")</f>
        <v>0</v>
      </c>
    </row>
    <row r="52" spans="1:55" x14ac:dyDescent="0.2">
      <c r="A52" t="s">
        <v>117</v>
      </c>
      <c r="B52" t="s">
        <v>107</v>
      </c>
      <c r="C52" t="s">
        <v>84</v>
      </c>
      <c r="D52" t="s">
        <v>55</v>
      </c>
      <c r="E52" t="s">
        <v>56</v>
      </c>
      <c r="F52">
        <v>11</v>
      </c>
      <c r="G52">
        <v>24.502161634428251</v>
      </c>
      <c r="H52">
        <v>33.048591474592847</v>
      </c>
      <c r="I52">
        <v>1.57</v>
      </c>
      <c r="J52">
        <v>1.5</v>
      </c>
      <c r="K52">
        <v>0.2</v>
      </c>
      <c r="L52">
        <v>0.12</v>
      </c>
      <c r="M52">
        <v>6</v>
      </c>
      <c r="N52">
        <v>190</v>
      </c>
      <c r="Q52">
        <v>0.1984163781214606</v>
      </c>
      <c r="R52">
        <v>2383007.1153019848</v>
      </c>
      <c r="S52">
        <v>-4.1573766897368353E-3</v>
      </c>
      <c r="T52">
        <v>1134.971999997148</v>
      </c>
      <c r="U52">
        <v>456.74298592156453</v>
      </c>
      <c r="V52">
        <v>251.099999999369</v>
      </c>
      <c r="W52">
        <v>1.818968482368428</v>
      </c>
      <c r="X52" t="s">
        <v>57</v>
      </c>
      <c r="Z52">
        <v>564.39800000000002</v>
      </c>
      <c r="AA52">
        <v>95.163399999999996</v>
      </c>
      <c r="AB52">
        <v>31.260899999999999</v>
      </c>
      <c r="AC52">
        <v>13.13975527176134</v>
      </c>
      <c r="AD52">
        <v>35.165013409263473</v>
      </c>
      <c r="AE52">
        <v>35.165013409263473</v>
      </c>
      <c r="AF52" t="s">
        <v>58</v>
      </c>
      <c r="AG52" t="b">
        <v>1</v>
      </c>
      <c r="AH52">
        <v>2.6762304686782579</v>
      </c>
      <c r="AI52">
        <v>566.21400000000006</v>
      </c>
      <c r="AJ52">
        <v>91.310100000000006</v>
      </c>
      <c r="AK52">
        <v>32.289299999999997</v>
      </c>
      <c r="AL52">
        <v>12.729574145936979</v>
      </c>
      <c r="AM52">
        <v>35.544178126246969</v>
      </c>
      <c r="AN52">
        <v>35.544178126246969</v>
      </c>
      <c r="AO52" t="s">
        <v>58</v>
      </c>
      <c r="AP52" t="b">
        <v>1</v>
      </c>
      <c r="AQ52">
        <v>2.7922519417188778</v>
      </c>
      <c r="AR52">
        <v>566.21400000000006</v>
      </c>
      <c r="AS52">
        <v>35.544178126246969</v>
      </c>
      <c r="AT52">
        <v>2.7922519417188778</v>
      </c>
      <c r="AU52" s="5">
        <v>26.551501060306485</v>
      </c>
      <c r="AV52" s="5">
        <v>37.925638060705516</v>
      </c>
      <c r="AW52" s="5">
        <v>2.0858122004640016</v>
      </c>
      <c r="AX52" s="5">
        <v>2.9793328218140425</v>
      </c>
      <c r="AY52" t="s">
        <v>59</v>
      </c>
      <c r="AZ52" t="s">
        <v>60</v>
      </c>
      <c r="BA52" s="23">
        <f t="shared" si="0"/>
        <v>0</v>
      </c>
      <c r="BB52" s="23">
        <f>IF(AND(ISNUMBER(H52),Metadata!$H$5&gt;Metadata!$G$5),MAX(Metadata!$G$5-H52,0,H52-Metadata!$H$5)/(Metadata!$H$5-Metadata!$G$5),"Missing input")</f>
        <v>0</v>
      </c>
      <c r="BC52" s="23">
        <f>IF(AND(ISNUMBER(L52),Metadata!$H$8&gt;Metadata!$G$8),MAX(Metadata!$G$8-L52,0,L52-Metadata!$H$8)/(Metadata!$H$8-Metadata!$G$8),"Missing input")</f>
        <v>0</v>
      </c>
    </row>
    <row r="53" spans="1:55" x14ac:dyDescent="0.2">
      <c r="A53" t="s">
        <v>118</v>
      </c>
      <c r="B53" t="s">
        <v>107</v>
      </c>
      <c r="C53" t="s">
        <v>84</v>
      </c>
      <c r="D53" t="s">
        <v>55</v>
      </c>
      <c r="E53" t="s">
        <v>56</v>
      </c>
      <c r="F53">
        <v>12</v>
      </c>
      <c r="G53">
        <v>56.241153781572699</v>
      </c>
      <c r="H53">
        <v>14.78764467513273</v>
      </c>
      <c r="I53">
        <v>1.57</v>
      </c>
      <c r="J53">
        <v>1.5</v>
      </c>
      <c r="K53">
        <v>0.2</v>
      </c>
      <c r="L53">
        <v>0.12</v>
      </c>
      <c r="M53">
        <v>6</v>
      </c>
      <c r="N53">
        <v>190</v>
      </c>
      <c r="Q53">
        <v>0.1984163781214606</v>
      </c>
      <c r="R53">
        <v>2448743.9197241841</v>
      </c>
      <c r="S53">
        <v>-3.1050231707761659E-3</v>
      </c>
      <c r="T53">
        <v>1060.8343060705299</v>
      </c>
      <c r="U53">
        <v>583.75828792055154</v>
      </c>
      <c r="V53">
        <v>234.69785532533859</v>
      </c>
      <c r="W53">
        <v>2.4872757661604741</v>
      </c>
      <c r="X53" t="s">
        <v>57</v>
      </c>
      <c r="Z53">
        <v>706.08699999999999</v>
      </c>
      <c r="AA53">
        <v>95.163399999999996</v>
      </c>
      <c r="AB53">
        <v>51.296399999999998</v>
      </c>
      <c r="AC53">
        <v>12.124686076468659</v>
      </c>
      <c r="AD53">
        <v>73.265100961667727</v>
      </c>
      <c r="AE53">
        <v>73.265100961667727</v>
      </c>
      <c r="AF53" t="s">
        <v>58</v>
      </c>
      <c r="AG53" t="b">
        <v>1</v>
      </c>
      <c r="AH53">
        <v>6.0426390010920894</v>
      </c>
      <c r="AI53">
        <v>704.61400000000003</v>
      </c>
      <c r="AJ53">
        <v>91.310100000000006</v>
      </c>
      <c r="AK53">
        <v>51.757599999999996</v>
      </c>
      <c r="AL53">
        <v>11.888333715424871</v>
      </c>
      <c r="AM53">
        <v>72.784157781367853</v>
      </c>
      <c r="AN53">
        <v>72.784157781367853</v>
      </c>
      <c r="AO53" t="s">
        <v>58</v>
      </c>
      <c r="AP53" t="b">
        <v>1</v>
      </c>
      <c r="AQ53">
        <v>6.1223178557758597</v>
      </c>
      <c r="AR53">
        <v>706.08699999999999</v>
      </c>
      <c r="AS53">
        <v>73.265100961667727</v>
      </c>
      <c r="AT53">
        <v>6.1223178557758597</v>
      </c>
      <c r="AU53" s="5">
        <v>54.729030418365795</v>
      </c>
      <c r="AV53" s="5">
        <v>78.173862726099458</v>
      </c>
      <c r="AW53" s="5">
        <v>4.5733714382645676</v>
      </c>
      <c r="AX53" s="5">
        <v>6.5325131521128421</v>
      </c>
      <c r="AY53" t="s">
        <v>59</v>
      </c>
      <c r="AZ53" t="s">
        <v>60</v>
      </c>
      <c r="BA53" s="23">
        <f t="shared" si="0"/>
        <v>0</v>
      </c>
      <c r="BB53" s="23">
        <f>IF(AND(ISNUMBER(H53),Metadata!$H$5&gt;Metadata!$G$5),MAX(Metadata!$G$5-H53,0,H53-Metadata!$H$5)/(Metadata!$H$5-Metadata!$G$5),"Missing input")</f>
        <v>0</v>
      </c>
      <c r="BC53" s="23">
        <f>IF(AND(ISNUMBER(L53),Metadata!$H$8&gt;Metadata!$G$8),MAX(Metadata!$G$8-L53,0,L53-Metadata!$H$8)/(Metadata!$H$8-Metadata!$G$8),"Missing input")</f>
        <v>0</v>
      </c>
    </row>
    <row r="54" spans="1:55" x14ac:dyDescent="0.2">
      <c r="A54" t="s">
        <v>119</v>
      </c>
      <c r="B54" t="s">
        <v>107</v>
      </c>
      <c r="C54" t="s">
        <v>84</v>
      </c>
      <c r="D54" t="s">
        <v>55</v>
      </c>
      <c r="E54" t="s">
        <v>56</v>
      </c>
      <c r="F54">
        <v>13</v>
      </c>
      <c r="G54">
        <v>49.119901382435643</v>
      </c>
      <c r="H54">
        <v>22.54933477691009</v>
      </c>
      <c r="I54">
        <v>1.57</v>
      </c>
      <c r="J54">
        <v>1.5</v>
      </c>
      <c r="K54">
        <v>0.2</v>
      </c>
      <c r="L54">
        <v>0.12</v>
      </c>
      <c r="M54">
        <v>6</v>
      </c>
      <c r="N54">
        <v>190</v>
      </c>
      <c r="Q54">
        <v>0.1984163781214606</v>
      </c>
      <c r="R54">
        <v>3276584.6264440492</v>
      </c>
      <c r="S54">
        <v>-3.7470634002165081E-3</v>
      </c>
      <c r="T54">
        <v>1412.968799359719</v>
      </c>
      <c r="U54">
        <v>559.30370572499476</v>
      </c>
      <c r="V54">
        <v>312.60371667250428</v>
      </c>
      <c r="W54">
        <v>1.7891780420222669</v>
      </c>
      <c r="X54" t="s">
        <v>57</v>
      </c>
      <c r="Z54">
        <v>801.899</v>
      </c>
      <c r="AA54">
        <v>95.163399999999996</v>
      </c>
      <c r="AB54">
        <v>41.324300000000001</v>
      </c>
      <c r="AC54">
        <v>12.931625678406469</v>
      </c>
      <c r="AD54">
        <v>50.702428175208368</v>
      </c>
      <c r="AE54">
        <v>50.702428175208368</v>
      </c>
      <c r="AF54" t="s">
        <v>58</v>
      </c>
      <c r="AG54" t="b">
        <v>1</v>
      </c>
      <c r="AH54">
        <v>3.9208085229278229</v>
      </c>
      <c r="AI54">
        <v>800.97900000000004</v>
      </c>
      <c r="AJ54">
        <v>91.310100000000006</v>
      </c>
      <c r="AK54">
        <v>39.358900000000013</v>
      </c>
      <c r="AL54">
        <v>12.75887562046359</v>
      </c>
      <c r="AM54">
        <v>50.471847698383051</v>
      </c>
      <c r="AN54">
        <v>50.471847698383051</v>
      </c>
      <c r="AO54" t="s">
        <v>58</v>
      </c>
      <c r="AP54" t="b">
        <v>1</v>
      </c>
      <c r="AQ54">
        <v>3.9558225348190339</v>
      </c>
      <c r="AR54">
        <v>801.899</v>
      </c>
      <c r="AS54">
        <v>50.702428175208368</v>
      </c>
      <c r="AT54">
        <v>3.9558225348190339</v>
      </c>
      <c r="AU54" s="5">
        <v>37.874713846880653</v>
      </c>
      <c r="AV54" s="5">
        <v>54.099490862947327</v>
      </c>
      <c r="AW54" s="5">
        <v>2.9549994335098182</v>
      </c>
      <c r="AX54" s="5">
        <v>4.2208626446519091</v>
      </c>
      <c r="AY54" t="s">
        <v>59</v>
      </c>
      <c r="AZ54" t="s">
        <v>60</v>
      </c>
      <c r="BA54" s="23">
        <f t="shared" si="0"/>
        <v>0</v>
      </c>
      <c r="BB54" s="23">
        <f>IF(AND(ISNUMBER(H54),Metadata!$H$5&gt;Metadata!$G$5),MAX(Metadata!$G$5-H54,0,H54-Metadata!$H$5)/(Metadata!$H$5-Metadata!$G$5),"Missing input")</f>
        <v>0</v>
      </c>
      <c r="BC54" s="23">
        <f>IF(AND(ISNUMBER(L54),Metadata!$H$8&gt;Metadata!$G$8),MAX(Metadata!$G$8-L54,0,L54-Metadata!$H$8)/(Metadata!$H$8-Metadata!$G$8),"Missing input")</f>
        <v>0</v>
      </c>
    </row>
    <row r="55" spans="1:55" x14ac:dyDescent="0.2">
      <c r="A55" t="s">
        <v>120</v>
      </c>
      <c r="B55" t="s">
        <v>107</v>
      </c>
      <c r="C55" t="s">
        <v>84</v>
      </c>
      <c r="D55" t="s">
        <v>55</v>
      </c>
      <c r="E55" t="s">
        <v>56</v>
      </c>
      <c r="F55">
        <v>14</v>
      </c>
      <c r="G55">
        <v>37.958866376576751</v>
      </c>
      <c r="H55">
        <v>9.8264864335603903</v>
      </c>
      <c r="I55">
        <v>1.57</v>
      </c>
      <c r="J55">
        <v>1.5</v>
      </c>
      <c r="K55">
        <v>0.2</v>
      </c>
      <c r="L55">
        <v>0.12</v>
      </c>
      <c r="M55">
        <v>6</v>
      </c>
      <c r="N55">
        <v>190</v>
      </c>
      <c r="Q55">
        <v>0.1984163781214606</v>
      </c>
      <c r="R55">
        <v>1072728.181448289</v>
      </c>
      <c r="S55">
        <v>-2.603958364796914E-3</v>
      </c>
      <c r="T55">
        <v>610.81355109044614</v>
      </c>
      <c r="U55">
        <v>517.08147235954027</v>
      </c>
      <c r="V55">
        <v>135.13574139169171</v>
      </c>
      <c r="W55">
        <v>3.8263857291519709</v>
      </c>
      <c r="X55" t="s">
        <v>57</v>
      </c>
      <c r="Z55">
        <v>439.68900000000002</v>
      </c>
      <c r="AA55">
        <v>95.163399999999996</v>
      </c>
      <c r="AB55">
        <v>65.006200000000007</v>
      </c>
      <c r="AC55">
        <v>12.22628129487793</v>
      </c>
      <c r="AE55">
        <v>95.163399999999996</v>
      </c>
      <c r="AF55" t="s">
        <v>62</v>
      </c>
      <c r="AG55" t="b">
        <v>0</v>
      </c>
      <c r="AH55">
        <v>7.7835114132264938</v>
      </c>
      <c r="AI55">
        <v>439.07</v>
      </c>
      <c r="AJ55">
        <v>91.310100000000006</v>
      </c>
      <c r="AK55">
        <v>64.811499999999995</v>
      </c>
      <c r="AL55">
        <v>11.88096761904762</v>
      </c>
      <c r="AN55">
        <v>91.310100000000006</v>
      </c>
      <c r="AO55" t="s">
        <v>62</v>
      </c>
      <c r="AP55" t="b">
        <v>0</v>
      </c>
      <c r="AQ55">
        <v>7.685409381438868</v>
      </c>
      <c r="AR55">
        <v>439.68900000000002</v>
      </c>
      <c r="AS55">
        <v>95.163399999999996</v>
      </c>
      <c r="AT55">
        <v>7.7835114132264938</v>
      </c>
      <c r="AU55" s="5">
        <v>71.087059799999992</v>
      </c>
      <c r="AV55" s="5">
        <v>101.53934779999999</v>
      </c>
      <c r="AW55" s="5">
        <v>5.814283025680191</v>
      </c>
      <c r="AX55" s="5">
        <v>8.3050066779126688</v>
      </c>
      <c r="AY55" t="s">
        <v>59</v>
      </c>
      <c r="AZ55" t="s">
        <v>60</v>
      </c>
      <c r="BA55" s="23">
        <f t="shared" si="0"/>
        <v>0</v>
      </c>
      <c r="BB55" s="23">
        <f>IF(AND(ISNUMBER(H55),Metadata!$H$5&gt;Metadata!$G$5),MAX(Metadata!$G$5-H55,0,H55-Metadata!$H$5)/(Metadata!$H$5-Metadata!$G$5),"Missing input")</f>
        <v>0</v>
      </c>
      <c r="BC55" s="23">
        <f>IF(AND(ISNUMBER(L55),Metadata!$H$8&gt;Metadata!$G$8),MAX(Metadata!$G$8-L55,0,L55-Metadata!$H$8)/(Metadata!$H$8-Metadata!$G$8),"Missing input")</f>
        <v>0</v>
      </c>
    </row>
    <row r="56" spans="1:55" x14ac:dyDescent="0.2">
      <c r="A56" t="s">
        <v>121</v>
      </c>
      <c r="B56" t="s">
        <v>107</v>
      </c>
      <c r="C56" t="s">
        <v>84</v>
      </c>
      <c r="D56" t="s">
        <v>55</v>
      </c>
      <c r="E56" t="s">
        <v>56</v>
      </c>
      <c r="F56">
        <v>15</v>
      </c>
      <c r="G56">
        <v>27.308053040943211</v>
      </c>
      <c r="H56">
        <v>5.2772178758296739</v>
      </c>
      <c r="I56">
        <v>1.57</v>
      </c>
      <c r="J56">
        <v>1.5</v>
      </c>
      <c r="K56">
        <v>0.2</v>
      </c>
      <c r="L56">
        <v>0.12</v>
      </c>
      <c r="M56">
        <v>6</v>
      </c>
      <c r="N56">
        <v>190</v>
      </c>
      <c r="Q56">
        <v>0.1984163781214606</v>
      </c>
      <c r="R56">
        <v>386052.96198531118</v>
      </c>
      <c r="S56">
        <v>-2.1459542537219699E-3</v>
      </c>
      <c r="T56">
        <v>428.52672237905682</v>
      </c>
      <c r="U56">
        <v>470.48081353262933</v>
      </c>
      <c r="V56">
        <v>94.806796986516986</v>
      </c>
      <c r="W56">
        <v>4.9625219761357311</v>
      </c>
      <c r="X56" t="s">
        <v>57</v>
      </c>
      <c r="Z56">
        <v>297.36900000000003</v>
      </c>
      <c r="AA56">
        <v>95.163399999999996</v>
      </c>
      <c r="AB56">
        <v>77.850200000000001</v>
      </c>
      <c r="AC56">
        <v>13.238480663716819</v>
      </c>
      <c r="AE56">
        <v>95.163399999999996</v>
      </c>
      <c r="AF56" t="s">
        <v>62</v>
      </c>
      <c r="AG56" t="b">
        <v>0</v>
      </c>
      <c r="AH56">
        <v>7.1883928690410652</v>
      </c>
      <c r="AI56">
        <v>297.53199999999998</v>
      </c>
      <c r="AJ56">
        <v>91.310100000000006</v>
      </c>
      <c r="AK56">
        <v>78.431799999999996</v>
      </c>
      <c r="AL56">
        <v>13.082734695690799</v>
      </c>
      <c r="AN56">
        <v>91.310100000000006</v>
      </c>
      <c r="AO56" t="s">
        <v>62</v>
      </c>
      <c r="AP56" t="b">
        <v>0</v>
      </c>
      <c r="AQ56">
        <v>6.9794352728161453</v>
      </c>
      <c r="AR56">
        <v>297.53199999999998</v>
      </c>
      <c r="AS56">
        <v>95.163399999999996</v>
      </c>
      <c r="AT56">
        <v>7.1883928690410652</v>
      </c>
      <c r="AU56" s="5">
        <v>71.087059799999992</v>
      </c>
      <c r="AV56" s="5">
        <v>101.53934779999999</v>
      </c>
      <c r="AW56" s="5">
        <v>5.3697294731736758</v>
      </c>
      <c r="AX56" s="5">
        <v>7.670015191266816</v>
      </c>
      <c r="AY56" t="s">
        <v>59</v>
      </c>
      <c r="AZ56" t="s">
        <v>60</v>
      </c>
      <c r="BA56" s="23">
        <f t="shared" si="0"/>
        <v>0</v>
      </c>
      <c r="BB56" s="23">
        <f>IF(AND(ISNUMBER(H56),Metadata!$H$5&gt;Metadata!$G$5),MAX(Metadata!$G$5-H56,0,H56-Metadata!$H$5)/(Metadata!$H$5-Metadata!$G$5),"Missing input")</f>
        <v>0</v>
      </c>
      <c r="BC56" s="23">
        <f>IF(AND(ISNUMBER(L56),Metadata!$H$8&gt;Metadata!$G$8),MAX(Metadata!$G$8-L56,0,L56-Metadata!$H$8)/(Metadata!$H$8-Metadata!$G$8),"Missing input")</f>
        <v>0</v>
      </c>
    </row>
    <row r="57" spans="1:55" x14ac:dyDescent="0.2">
      <c r="A57" t="s">
        <v>122</v>
      </c>
      <c r="B57" t="s">
        <v>107</v>
      </c>
      <c r="C57" t="s">
        <v>84</v>
      </c>
      <c r="D57" t="s">
        <v>55</v>
      </c>
      <c r="E57" t="s">
        <v>56</v>
      </c>
      <c r="F57">
        <v>16</v>
      </c>
      <c r="G57">
        <v>31.1252119640606</v>
      </c>
      <c r="H57">
        <v>39.5069074866867</v>
      </c>
      <c r="I57">
        <v>1.57</v>
      </c>
      <c r="J57">
        <v>1.5</v>
      </c>
      <c r="K57">
        <v>0.2</v>
      </c>
      <c r="L57">
        <v>0.12</v>
      </c>
      <c r="M57">
        <v>6</v>
      </c>
      <c r="N57">
        <v>190</v>
      </c>
      <c r="Q57">
        <v>0.1984163781214606</v>
      </c>
      <c r="R57">
        <v>3642703.933702969</v>
      </c>
      <c r="S57">
        <v>-4.1720465131586046E-3</v>
      </c>
      <c r="T57">
        <v>1657.5346780090949</v>
      </c>
      <c r="U57">
        <v>488.08182797964258</v>
      </c>
      <c r="V57">
        <v>366.71121194891492</v>
      </c>
      <c r="W57">
        <v>1.330970562328035</v>
      </c>
      <c r="X57" t="s">
        <v>57</v>
      </c>
      <c r="Z57">
        <v>684.26300000000003</v>
      </c>
      <c r="AA57">
        <v>95.163399999999996</v>
      </c>
      <c r="AB57">
        <v>25.7987</v>
      </c>
      <c r="AC57">
        <v>12.195241863309359</v>
      </c>
      <c r="AD57">
        <v>27.583608167606009</v>
      </c>
      <c r="AE57">
        <v>27.583608167606009</v>
      </c>
      <c r="AF57" t="s">
        <v>58</v>
      </c>
      <c r="AG57" t="b">
        <v>1</v>
      </c>
      <c r="AH57">
        <v>2.2618336296055062</v>
      </c>
      <c r="AI57">
        <v>689.39400000000001</v>
      </c>
      <c r="AJ57">
        <v>91.310100000000006</v>
      </c>
      <c r="AK57">
        <v>27.145</v>
      </c>
      <c r="AL57">
        <v>11.60389237922705</v>
      </c>
      <c r="AM57">
        <v>28.7306409788997</v>
      </c>
      <c r="AN57">
        <v>28.7306409788997</v>
      </c>
      <c r="AO57" t="s">
        <v>58</v>
      </c>
      <c r="AP57" t="b">
        <v>1</v>
      </c>
      <c r="AQ57">
        <v>2.475948590348223</v>
      </c>
      <c r="AR57">
        <v>689.39400000000001</v>
      </c>
      <c r="AS57">
        <v>28.7306409788997</v>
      </c>
      <c r="AT57">
        <v>2.475948590348223</v>
      </c>
      <c r="AU57" s="5">
        <v>21.461788811238076</v>
      </c>
      <c r="AV57" s="5">
        <v>30.655593924485977</v>
      </c>
      <c r="AW57" s="5">
        <v>1.8495335969901225</v>
      </c>
      <c r="AX57" s="5">
        <v>2.6418371459015537</v>
      </c>
      <c r="AY57" t="s">
        <v>59</v>
      </c>
      <c r="AZ57" t="s">
        <v>60</v>
      </c>
      <c r="BA57" s="23">
        <f t="shared" si="0"/>
        <v>0</v>
      </c>
      <c r="BB57" s="23">
        <f>IF(AND(ISNUMBER(H57),Metadata!$H$5&gt;Metadata!$G$5),MAX(Metadata!$G$5-H57,0,H57-Metadata!$H$5)/(Metadata!$H$5-Metadata!$G$5),"Missing input")</f>
        <v>0</v>
      </c>
      <c r="BC57" s="23">
        <f>IF(AND(ISNUMBER(L57),Metadata!$H$8&gt;Metadata!$G$8),MAX(Metadata!$G$8-L57,0,L57-Metadata!$H$8)/(Metadata!$H$8-Metadata!$G$8),"Missing input")</f>
        <v>0</v>
      </c>
    </row>
    <row r="58" spans="1:55" x14ac:dyDescent="0.2">
      <c r="A58" t="s">
        <v>123</v>
      </c>
      <c r="B58" t="s">
        <v>107</v>
      </c>
      <c r="C58" t="s">
        <v>84</v>
      </c>
      <c r="D58" t="s">
        <v>55</v>
      </c>
      <c r="E58" t="s">
        <v>56</v>
      </c>
      <c r="F58">
        <v>17</v>
      </c>
      <c r="G58">
        <v>46.390186033042063</v>
      </c>
      <c r="H58">
        <v>16.21387510983789</v>
      </c>
      <c r="I58">
        <v>1.57</v>
      </c>
      <c r="J58">
        <v>1.5</v>
      </c>
      <c r="K58">
        <v>0.2</v>
      </c>
      <c r="L58">
        <v>0.12</v>
      </c>
      <c r="M58">
        <v>6</v>
      </c>
      <c r="N58">
        <v>190</v>
      </c>
      <c r="Q58">
        <v>0.1984163781214606</v>
      </c>
      <c r="R58">
        <v>2210215.3729856689</v>
      </c>
      <c r="S58">
        <v>-3.240313020697863E-3</v>
      </c>
      <c r="T58">
        <v>992.19235058261199</v>
      </c>
      <c r="U58">
        <v>549.46285602723196</v>
      </c>
      <c r="V58">
        <v>219.5115819873036</v>
      </c>
      <c r="W58">
        <v>2.503115557970935</v>
      </c>
      <c r="X58" t="s">
        <v>57</v>
      </c>
      <c r="Z58">
        <v>647.32000000000005</v>
      </c>
      <c r="AA58">
        <v>95.163399999999996</v>
      </c>
      <c r="AB58">
        <v>51.296399999999998</v>
      </c>
      <c r="AC58">
        <v>12.36037181785586</v>
      </c>
      <c r="AD58">
        <v>70.708944447029623</v>
      </c>
      <c r="AE58">
        <v>70.708944447029623</v>
      </c>
      <c r="AF58" t="s">
        <v>58</v>
      </c>
      <c r="AG58" t="b">
        <v>1</v>
      </c>
      <c r="AH58">
        <v>5.7206162960958089</v>
      </c>
      <c r="AI58">
        <v>645.54600000000005</v>
      </c>
      <c r="AJ58">
        <v>91.310100000000006</v>
      </c>
      <c r="AK58">
        <v>51.070500000000003</v>
      </c>
      <c r="AL58">
        <v>12.060001377523189</v>
      </c>
      <c r="AM58">
        <v>70.207584578618381</v>
      </c>
      <c r="AN58">
        <v>70.207584578618381</v>
      </c>
      <c r="AO58" t="s">
        <v>58</v>
      </c>
      <c r="AP58" t="b">
        <v>1</v>
      </c>
      <c r="AQ58">
        <v>5.82152376113884</v>
      </c>
      <c r="AR58">
        <v>647.32000000000005</v>
      </c>
      <c r="AS58">
        <v>70.708944447029623</v>
      </c>
      <c r="AT58">
        <v>5.82152376113884</v>
      </c>
      <c r="AU58" s="5">
        <v>52.819581501931125</v>
      </c>
      <c r="AV58" s="5">
        <v>75.446443724980611</v>
      </c>
      <c r="AW58" s="5">
        <v>4.348678249570713</v>
      </c>
      <c r="AX58" s="5">
        <v>6.2115658531351423</v>
      </c>
      <c r="AY58" t="s">
        <v>59</v>
      </c>
      <c r="AZ58" t="s">
        <v>60</v>
      </c>
      <c r="BA58" s="23">
        <f t="shared" si="0"/>
        <v>0</v>
      </c>
      <c r="BB58" s="23">
        <f>IF(AND(ISNUMBER(H58),Metadata!$H$5&gt;Metadata!$G$5),MAX(Metadata!$G$5-H58,0,H58-Metadata!$H$5)/(Metadata!$H$5-Metadata!$G$5),"Missing input")</f>
        <v>0</v>
      </c>
      <c r="BC58" s="23">
        <f>IF(AND(ISNUMBER(L58),Metadata!$H$8&gt;Metadata!$G$8),MAX(Metadata!$G$8-L58,0,L58-Metadata!$H$8)/(Metadata!$H$8-Metadata!$G$8),"Missing input")</f>
        <v>0</v>
      </c>
    </row>
    <row r="59" spans="1:55" x14ac:dyDescent="0.2">
      <c r="A59" t="s">
        <v>124</v>
      </c>
      <c r="B59" t="s">
        <v>107</v>
      </c>
      <c r="C59" t="s">
        <v>84</v>
      </c>
      <c r="D59" t="s">
        <v>55</v>
      </c>
      <c r="E59" t="s">
        <v>56</v>
      </c>
      <c r="F59">
        <v>18</v>
      </c>
      <c r="G59">
        <v>54.165408264435399</v>
      </c>
      <c r="H59">
        <v>18.25275816413232</v>
      </c>
      <c r="I59">
        <v>1.57</v>
      </c>
      <c r="J59">
        <v>1.5</v>
      </c>
      <c r="K59">
        <v>0.2</v>
      </c>
      <c r="L59">
        <v>0.12</v>
      </c>
      <c r="M59">
        <v>6</v>
      </c>
      <c r="N59">
        <v>190</v>
      </c>
      <c r="Q59">
        <v>0.1984163781214606</v>
      </c>
      <c r="R59">
        <v>2919725.6187367002</v>
      </c>
      <c r="S59">
        <v>-3.4220144780132298E-3</v>
      </c>
      <c r="T59">
        <v>1250.244632367107</v>
      </c>
      <c r="U59">
        <v>576.79857448524365</v>
      </c>
      <c r="V59">
        <v>276.6027947714839</v>
      </c>
      <c r="W59">
        <v>2.0852955407112468</v>
      </c>
      <c r="X59" t="s">
        <v>57</v>
      </c>
      <c r="Z59">
        <v>772.93499999999995</v>
      </c>
      <c r="AA59">
        <v>95.163399999999996</v>
      </c>
      <c r="AB59">
        <v>44.910200000000003</v>
      </c>
      <c r="AC59">
        <v>12.506048319831979</v>
      </c>
      <c r="AD59">
        <v>62.50433228625846</v>
      </c>
      <c r="AE59">
        <v>62.50433228625846</v>
      </c>
      <c r="AF59" t="s">
        <v>58</v>
      </c>
      <c r="AG59" t="b">
        <v>1</v>
      </c>
      <c r="AH59">
        <v>4.9979282574128261</v>
      </c>
      <c r="AI59">
        <v>771.12800000000004</v>
      </c>
      <c r="AJ59">
        <v>91.310100000000006</v>
      </c>
      <c r="AK59">
        <v>47.291899999999998</v>
      </c>
      <c r="AL59">
        <v>12.34276479603867</v>
      </c>
      <c r="AM59">
        <v>61.891326630385578</v>
      </c>
      <c r="AN59">
        <v>61.891326630385578</v>
      </c>
      <c r="AO59" t="s">
        <v>58</v>
      </c>
      <c r="AP59" t="b">
        <v>1</v>
      </c>
      <c r="AQ59">
        <v>5.0143811093483048</v>
      </c>
      <c r="AR59">
        <v>772.93499999999995</v>
      </c>
      <c r="AS59">
        <v>62.50433228625846</v>
      </c>
      <c r="AT59">
        <v>5.0143811093483048</v>
      </c>
      <c r="AU59" s="5">
        <v>46.690736217835067</v>
      </c>
      <c r="AV59" s="5">
        <v>66.692122549437769</v>
      </c>
      <c r="AW59" s="5">
        <v>3.7457426886831837</v>
      </c>
      <c r="AX59" s="5">
        <v>5.3503446436746414</v>
      </c>
      <c r="AY59" t="s">
        <v>59</v>
      </c>
      <c r="AZ59" t="s">
        <v>60</v>
      </c>
      <c r="BA59" s="23">
        <f t="shared" si="0"/>
        <v>0</v>
      </c>
      <c r="BB59" s="23">
        <f>IF(AND(ISNUMBER(H59),Metadata!$H$5&gt;Metadata!$G$5),MAX(Metadata!$G$5-H59,0,H59-Metadata!$H$5)/(Metadata!$H$5-Metadata!$G$5),"Missing input")</f>
        <v>0</v>
      </c>
      <c r="BC59" s="23">
        <f>IF(AND(ISNUMBER(L59),Metadata!$H$8&gt;Metadata!$G$8),MAX(Metadata!$G$8-L59,0,L59-Metadata!$H$8)/(Metadata!$H$8-Metadata!$G$8),"Missing input")</f>
        <v>0</v>
      </c>
    </row>
    <row r="60" spans="1:55" x14ac:dyDescent="0.2">
      <c r="A60" t="s">
        <v>125</v>
      </c>
      <c r="B60" t="s">
        <v>107</v>
      </c>
      <c r="C60" t="s">
        <v>84</v>
      </c>
      <c r="D60" t="s">
        <v>55</v>
      </c>
      <c r="E60" t="s">
        <v>56</v>
      </c>
      <c r="F60">
        <v>19</v>
      </c>
      <c r="G60">
        <v>21.707483118551171</v>
      </c>
      <c r="H60">
        <v>43.497365085878002</v>
      </c>
      <c r="I60">
        <v>1.57</v>
      </c>
      <c r="J60">
        <v>1.5</v>
      </c>
      <c r="K60">
        <v>0.2</v>
      </c>
      <c r="L60">
        <v>0.12</v>
      </c>
      <c r="M60">
        <v>6</v>
      </c>
      <c r="N60">
        <v>190</v>
      </c>
      <c r="Q60">
        <v>0.1984163781214606</v>
      </c>
      <c r="R60">
        <v>2786376.2799094608</v>
      </c>
      <c r="S60">
        <v>-4.112622821179108E-3</v>
      </c>
      <c r="T60">
        <v>1327.844178866673</v>
      </c>
      <c r="U60">
        <v>442.25326983894979</v>
      </c>
      <c r="V60">
        <v>293.77083603244972</v>
      </c>
      <c r="W60">
        <v>1.505436263898227</v>
      </c>
      <c r="X60" t="s">
        <v>57</v>
      </c>
      <c r="Z60">
        <v>544.952</v>
      </c>
      <c r="AA60">
        <v>95.163399999999996</v>
      </c>
      <c r="AB60">
        <v>25.7987</v>
      </c>
      <c r="AC60">
        <v>12.24953377483444</v>
      </c>
      <c r="AD60">
        <v>26.08917101370011</v>
      </c>
      <c r="AE60">
        <v>26.08917101370011</v>
      </c>
      <c r="AF60" t="s">
        <v>58</v>
      </c>
      <c r="AG60" t="b">
        <v>1</v>
      </c>
      <c r="AH60">
        <v>2.1298093048486431</v>
      </c>
      <c r="AI60">
        <v>544.27700000000004</v>
      </c>
      <c r="AJ60">
        <v>91.310100000000006</v>
      </c>
      <c r="AK60">
        <v>25.644500000000001</v>
      </c>
      <c r="AL60">
        <v>11.221880434455811</v>
      </c>
      <c r="AM60">
        <v>27.26316010146672</v>
      </c>
      <c r="AN60">
        <v>27.26316010146672</v>
      </c>
      <c r="AO60" t="s">
        <v>58</v>
      </c>
      <c r="AP60" t="b">
        <v>1</v>
      </c>
      <c r="AQ60">
        <v>2.429464496677185</v>
      </c>
      <c r="AR60">
        <v>544.952</v>
      </c>
      <c r="AS60">
        <v>27.26316010146672</v>
      </c>
      <c r="AT60">
        <v>2.429464496677185</v>
      </c>
      <c r="AU60" s="5">
        <v>20.365580595795642</v>
      </c>
      <c r="AV60" s="5">
        <v>29.089791828264989</v>
      </c>
      <c r="AW60" s="5">
        <v>1.8148099790178571</v>
      </c>
      <c r="AX60" s="5">
        <v>2.5922386179545565</v>
      </c>
      <c r="AY60" t="s">
        <v>64</v>
      </c>
      <c r="AZ60" t="s">
        <v>7</v>
      </c>
      <c r="BA60" s="23">
        <f t="shared" si="0"/>
        <v>9.4596678167087334E-2</v>
      </c>
      <c r="BB60" s="23">
        <f>IF(AND(ISNUMBER(H60),Metadata!$H$5&gt;Metadata!$G$5),MAX(Metadata!$G$5-H60,0,H60-Metadata!$H$5)/(Metadata!$H$5-Metadata!$G$5),"Missing input")</f>
        <v>9.4596678167087334E-2</v>
      </c>
      <c r="BC60" s="23">
        <f>IF(AND(ISNUMBER(L60),Metadata!$H$8&gt;Metadata!$G$8),MAX(Metadata!$G$8-L60,0,L60-Metadata!$H$8)/(Metadata!$H$8-Metadata!$G$8),"Missing input")</f>
        <v>0</v>
      </c>
    </row>
    <row r="61" spans="1:55" x14ac:dyDescent="0.2">
      <c r="A61" t="s">
        <v>126</v>
      </c>
      <c r="B61" t="s">
        <v>107</v>
      </c>
      <c r="C61" t="s">
        <v>84</v>
      </c>
      <c r="D61" t="s">
        <v>55</v>
      </c>
      <c r="E61" t="s">
        <v>56</v>
      </c>
      <c r="F61">
        <v>20</v>
      </c>
      <c r="G61">
        <v>53.035991243371583</v>
      </c>
      <c r="H61">
        <v>30.34654288470276</v>
      </c>
      <c r="I61">
        <v>1.57</v>
      </c>
      <c r="J61">
        <v>1.5</v>
      </c>
      <c r="K61">
        <v>0.2</v>
      </c>
      <c r="L61">
        <v>0.12</v>
      </c>
      <c r="M61">
        <v>6</v>
      </c>
      <c r="N61">
        <v>190</v>
      </c>
      <c r="Q61">
        <v>0.1984163781214606</v>
      </c>
      <c r="R61">
        <v>4782098.2730990862</v>
      </c>
      <c r="S61">
        <v>-4.1023505584808209E-3</v>
      </c>
      <c r="T61">
        <v>2064.392118408005</v>
      </c>
      <c r="U61">
        <v>572.9557050610855</v>
      </c>
      <c r="V61">
        <v>456.72392000177121</v>
      </c>
      <c r="W61">
        <v>1.254490251044577</v>
      </c>
      <c r="X61" t="s">
        <v>57</v>
      </c>
      <c r="Z61">
        <v>969.71500000000003</v>
      </c>
      <c r="AA61">
        <v>95.163399999999996</v>
      </c>
      <c r="AB61">
        <v>33.023899999999998</v>
      </c>
      <c r="AC61">
        <v>13.420127204241069</v>
      </c>
      <c r="AD61">
        <v>36.36096850935084</v>
      </c>
      <c r="AE61">
        <v>36.36096850935084</v>
      </c>
      <c r="AF61" t="s">
        <v>58</v>
      </c>
      <c r="AG61" t="b">
        <v>1</v>
      </c>
      <c r="AH61">
        <v>2.709435458842739</v>
      </c>
      <c r="AI61">
        <v>967.37900000000002</v>
      </c>
      <c r="AJ61">
        <v>91.310100000000006</v>
      </c>
      <c r="AK61">
        <v>32.289299999999997</v>
      </c>
      <c r="AL61">
        <v>13.012655227771679</v>
      </c>
      <c r="AM61">
        <v>36.02394153538188</v>
      </c>
      <c r="AN61">
        <v>36.02394153538188</v>
      </c>
      <c r="AO61" t="s">
        <v>58</v>
      </c>
      <c r="AP61" t="b">
        <v>1</v>
      </c>
      <c r="AQ61">
        <v>2.768377468304807</v>
      </c>
      <c r="AR61">
        <v>969.71500000000003</v>
      </c>
      <c r="AS61">
        <v>36.36096850935084</v>
      </c>
      <c r="AT61">
        <v>2.768377468304807</v>
      </c>
      <c r="AU61" s="5">
        <v>27.161643476485079</v>
      </c>
      <c r="AV61" s="5">
        <v>38.797153399477345</v>
      </c>
      <c r="AW61" s="5">
        <v>2.067977968823691</v>
      </c>
      <c r="AX61" s="5">
        <v>2.9538587586812288</v>
      </c>
      <c r="AY61" t="s">
        <v>59</v>
      </c>
      <c r="AZ61" t="s">
        <v>60</v>
      </c>
      <c r="BA61" s="23">
        <f t="shared" si="0"/>
        <v>0</v>
      </c>
      <c r="BB61" s="23">
        <f>IF(AND(ISNUMBER(H61),Metadata!$H$5&gt;Metadata!$G$5),MAX(Metadata!$G$5-H61,0,H61-Metadata!$H$5)/(Metadata!$H$5-Metadata!$G$5),"Missing input")</f>
        <v>0</v>
      </c>
      <c r="BC61" s="23">
        <f>IF(AND(ISNUMBER(L61),Metadata!$H$8&gt;Metadata!$G$8),MAX(Metadata!$G$8-L61,0,L61-Metadata!$H$8)/(Metadata!$H$8-Metadata!$G$8),"Missing input")</f>
        <v>0</v>
      </c>
    </row>
    <row r="62" spans="1:55" x14ac:dyDescent="0.2">
      <c r="A62" t="s">
        <v>127</v>
      </c>
      <c r="B62" t="s">
        <v>128</v>
      </c>
      <c r="C62" t="s">
        <v>84</v>
      </c>
      <c r="D62" t="s">
        <v>55</v>
      </c>
      <c r="E62" t="s">
        <v>56</v>
      </c>
      <c r="F62">
        <v>1</v>
      </c>
      <c r="G62">
        <v>22.11413992487228</v>
      </c>
      <c r="H62">
        <v>28.832065765515338</v>
      </c>
      <c r="I62">
        <v>1.57</v>
      </c>
      <c r="J62">
        <v>1.5</v>
      </c>
      <c r="K62">
        <v>0.4</v>
      </c>
      <c r="L62">
        <v>0.3</v>
      </c>
      <c r="M62">
        <v>8</v>
      </c>
      <c r="N62">
        <v>170</v>
      </c>
      <c r="Q62">
        <v>0.39423907809754261</v>
      </c>
      <c r="R62">
        <v>1866510.334985178</v>
      </c>
      <c r="S62">
        <v>-4.6776449379660788E-3</v>
      </c>
      <c r="T62">
        <v>931.93139645531812</v>
      </c>
      <c r="U62">
        <v>759.61516486201356</v>
      </c>
      <c r="V62">
        <v>206.1795124901146</v>
      </c>
      <c r="W62">
        <v>3.6842417352133068</v>
      </c>
      <c r="X62" t="s">
        <v>57</v>
      </c>
      <c r="Z62">
        <v>522.68799999999999</v>
      </c>
      <c r="AA62">
        <v>95.163399999999996</v>
      </c>
      <c r="AB62">
        <v>37.557300000000012</v>
      </c>
      <c r="AC62">
        <v>14.595723306489811</v>
      </c>
      <c r="AD62">
        <v>43.939638500380227</v>
      </c>
      <c r="AE62">
        <v>43.939638500380227</v>
      </c>
      <c r="AF62" t="s">
        <v>58</v>
      </c>
      <c r="AG62" t="b">
        <v>1</v>
      </c>
      <c r="AH62">
        <v>3.010446113406589</v>
      </c>
      <c r="AI62">
        <v>520.30999999999995</v>
      </c>
      <c r="AJ62">
        <v>91.310100000000006</v>
      </c>
      <c r="AK62">
        <v>37.266199999999998</v>
      </c>
      <c r="AL62">
        <v>14.14426401236954</v>
      </c>
      <c r="AM62">
        <v>42.566686451460889</v>
      </c>
      <c r="AN62">
        <v>42.566686451460889</v>
      </c>
      <c r="AO62" t="s">
        <v>58</v>
      </c>
      <c r="AP62" t="b">
        <v>1</v>
      </c>
      <c r="AQ62">
        <v>3.0094663401528119</v>
      </c>
      <c r="AR62">
        <v>522.68799999999999</v>
      </c>
      <c r="AS62">
        <v>43.939638500380227</v>
      </c>
      <c r="AT62">
        <v>3.010446113406589</v>
      </c>
      <c r="AU62" s="5">
        <v>32.822909959784027</v>
      </c>
      <c r="AV62" s="5">
        <v>46.883594279905701</v>
      </c>
      <c r="AW62" s="5">
        <v>2.2488032467147221</v>
      </c>
      <c r="AX62" s="5">
        <v>3.2121460030048303</v>
      </c>
      <c r="AY62" t="s">
        <v>59</v>
      </c>
      <c r="AZ62" t="s">
        <v>60</v>
      </c>
      <c r="BA62" s="23">
        <f t="shared" si="0"/>
        <v>0</v>
      </c>
      <c r="BB62" s="23">
        <f>IF(AND(ISNUMBER(H62),Metadata!$H$5&gt;Metadata!$G$5),MAX(Metadata!$G$5-H62,0,H62-Metadata!$H$5)/(Metadata!$H$5-Metadata!$G$5),"Missing input")</f>
        <v>0</v>
      </c>
      <c r="BC62" s="23">
        <f>IF(AND(ISNUMBER(L62),Metadata!$H$8&gt;Metadata!$G$8),MAX(Metadata!$G$8-L62,0,L62-Metadata!$H$8)/(Metadata!$H$8-Metadata!$G$8),"Missing input")</f>
        <v>0</v>
      </c>
    </row>
    <row r="63" spans="1:55" x14ac:dyDescent="0.2">
      <c r="A63" t="s">
        <v>129</v>
      </c>
      <c r="B63" t="s">
        <v>128</v>
      </c>
      <c r="C63" t="s">
        <v>84</v>
      </c>
      <c r="D63" t="s">
        <v>55</v>
      </c>
      <c r="E63" t="s">
        <v>56</v>
      </c>
      <c r="F63">
        <v>2</v>
      </c>
      <c r="G63">
        <v>39.289372610104301</v>
      </c>
      <c r="H63">
        <v>11.43599740060767</v>
      </c>
      <c r="I63">
        <v>1.57</v>
      </c>
      <c r="J63">
        <v>1.5</v>
      </c>
      <c r="K63">
        <v>0.4</v>
      </c>
      <c r="L63">
        <v>0.3</v>
      </c>
      <c r="M63">
        <v>8</v>
      </c>
      <c r="N63">
        <v>170</v>
      </c>
      <c r="Q63">
        <v>0.39423907809754261</v>
      </c>
      <c r="R63">
        <v>1301660.814121977</v>
      </c>
      <c r="S63">
        <v>-3.000675189279899E-3</v>
      </c>
      <c r="T63">
        <v>682.24591859950192</v>
      </c>
      <c r="U63">
        <v>837.61238942000432</v>
      </c>
      <c r="V63">
        <v>150.93936252201371</v>
      </c>
      <c r="W63">
        <v>5.549330376281687</v>
      </c>
      <c r="X63" t="s">
        <v>57</v>
      </c>
      <c r="Z63">
        <v>508.90899999999999</v>
      </c>
      <c r="AA63">
        <v>95.163399999999996</v>
      </c>
      <c r="AB63">
        <v>61.555600000000013</v>
      </c>
      <c r="AC63">
        <v>13.374127405345209</v>
      </c>
      <c r="AE63">
        <v>95.163399999999996</v>
      </c>
      <c r="AF63" t="s">
        <v>62</v>
      </c>
      <c r="AG63" t="b">
        <v>0</v>
      </c>
      <c r="AH63">
        <v>7.1154847801110552</v>
      </c>
      <c r="AI63">
        <v>506.99099999999999</v>
      </c>
      <c r="AJ63">
        <v>91.310100000000006</v>
      </c>
      <c r="AK63">
        <v>60.942799999999998</v>
      </c>
      <c r="AL63">
        <v>12.95205344070278</v>
      </c>
      <c r="AN63">
        <v>91.310100000000006</v>
      </c>
      <c r="AO63" t="s">
        <v>62</v>
      </c>
      <c r="AP63" t="b">
        <v>0</v>
      </c>
      <c r="AQ63">
        <v>7.0498550996594327</v>
      </c>
      <c r="AR63">
        <v>508.90899999999999</v>
      </c>
      <c r="AS63">
        <v>95.163399999999996</v>
      </c>
      <c r="AT63">
        <v>7.1154847801110552</v>
      </c>
      <c r="AU63" s="5">
        <v>71.087059799999992</v>
      </c>
      <c r="AV63" s="5">
        <v>101.53934779999999</v>
      </c>
      <c r="AW63" s="5">
        <v>5.3152671307429582</v>
      </c>
      <c r="AX63" s="5">
        <v>7.5922222603784952</v>
      </c>
      <c r="AY63" t="s">
        <v>59</v>
      </c>
      <c r="AZ63" t="s">
        <v>60</v>
      </c>
      <c r="BA63" s="23">
        <f t="shared" si="0"/>
        <v>0</v>
      </c>
      <c r="BB63" s="23">
        <f>IF(AND(ISNUMBER(H63),Metadata!$H$5&gt;Metadata!$G$5),MAX(Metadata!$G$5-H63,0,H63-Metadata!$H$5)/(Metadata!$H$5-Metadata!$G$5),"Missing input")</f>
        <v>0</v>
      </c>
      <c r="BC63" s="23">
        <f>IF(AND(ISNUMBER(L63),Metadata!$H$8&gt;Metadata!$G$8),MAX(Metadata!$G$8-L63,0,L63-Metadata!$H$8)/(Metadata!$H$8-Metadata!$G$8),"Missing input")</f>
        <v>0</v>
      </c>
    </row>
    <row r="64" spans="1:55" x14ac:dyDescent="0.2">
      <c r="A64" t="s">
        <v>130</v>
      </c>
      <c r="B64" t="s">
        <v>128</v>
      </c>
      <c r="C64" t="s">
        <v>84</v>
      </c>
      <c r="D64" t="s">
        <v>55</v>
      </c>
      <c r="E64" t="s">
        <v>56</v>
      </c>
      <c r="F64">
        <v>3</v>
      </c>
      <c r="G64">
        <v>50.720967279676117</v>
      </c>
      <c r="H64">
        <v>41.572102032205443</v>
      </c>
      <c r="I64">
        <v>1.57</v>
      </c>
      <c r="J64">
        <v>1.5</v>
      </c>
      <c r="K64">
        <v>0.4</v>
      </c>
      <c r="L64">
        <v>0.3</v>
      </c>
      <c r="M64">
        <v>8</v>
      </c>
      <c r="N64">
        <v>170</v>
      </c>
      <c r="Q64">
        <v>0.39423907809754261</v>
      </c>
      <c r="R64">
        <v>6279453.0057685468</v>
      </c>
      <c r="S64">
        <v>-4.9230952402253498E-3</v>
      </c>
      <c r="T64">
        <v>2795.5189136654449</v>
      </c>
      <c r="U64">
        <v>880.14647464925849</v>
      </c>
      <c r="V64">
        <v>618.47763576669149</v>
      </c>
      <c r="W64">
        <v>1.423085369219844</v>
      </c>
      <c r="X64" t="s">
        <v>57</v>
      </c>
      <c r="Z64">
        <v>1008.42</v>
      </c>
      <c r="AA64">
        <v>95.163399999999996</v>
      </c>
      <c r="AB64">
        <v>27.231300000000001</v>
      </c>
      <c r="AC64">
        <v>13.21433195164076</v>
      </c>
      <c r="AD64">
        <v>28.31839600726672</v>
      </c>
      <c r="AE64">
        <v>28.31839600726672</v>
      </c>
      <c r="AF64" t="s">
        <v>58</v>
      </c>
      <c r="AG64" t="b">
        <v>1</v>
      </c>
      <c r="AH64">
        <v>2.143006253430054</v>
      </c>
      <c r="AI64">
        <v>1014.78</v>
      </c>
      <c r="AJ64">
        <v>91.310100000000006</v>
      </c>
      <c r="AK64">
        <v>28.216699999999999</v>
      </c>
      <c r="AL64">
        <v>12.41408981318857</v>
      </c>
      <c r="AM64">
        <v>29.355463738804431</v>
      </c>
      <c r="AN64">
        <v>29.355463738804431</v>
      </c>
      <c r="AO64" t="s">
        <v>58</v>
      </c>
      <c r="AP64" t="b">
        <v>1</v>
      </c>
      <c r="AQ64">
        <v>2.364689170173198</v>
      </c>
      <c r="AR64">
        <v>1014.78</v>
      </c>
      <c r="AS64">
        <v>29.355463738804431</v>
      </c>
      <c r="AT64">
        <v>2.364689170173198</v>
      </c>
      <c r="AU64" s="5">
        <v>21.928531412886912</v>
      </c>
      <c r="AV64" s="5">
        <v>31.322279809304327</v>
      </c>
      <c r="AW64" s="5">
        <v>1.7664228101193789</v>
      </c>
      <c r="AX64" s="5">
        <v>2.523123344574802</v>
      </c>
      <c r="AY64" t="s">
        <v>64</v>
      </c>
      <c r="AZ64" t="s">
        <v>7</v>
      </c>
      <c r="BA64" s="23">
        <f t="shared" si="0"/>
        <v>4.6063612035701466E-2</v>
      </c>
      <c r="BB64" s="23">
        <f>IF(AND(ISNUMBER(H64),Metadata!$H$5&gt;Metadata!$G$5),MAX(Metadata!$G$5-H64,0,H64-Metadata!$H$5)/(Metadata!$H$5-Metadata!$G$5),"Missing input")</f>
        <v>4.6063612035701466E-2</v>
      </c>
      <c r="BC64" s="23">
        <f>IF(AND(ISNUMBER(L64),Metadata!$H$8&gt;Metadata!$G$8),MAX(Metadata!$G$8-L64,0,L64-Metadata!$H$8)/(Metadata!$H$8-Metadata!$G$8),"Missing input")</f>
        <v>0</v>
      </c>
    </row>
    <row r="65" spans="1:55" x14ac:dyDescent="0.2">
      <c r="A65" t="s">
        <v>131</v>
      </c>
      <c r="B65" t="s">
        <v>128</v>
      </c>
      <c r="C65" t="s">
        <v>84</v>
      </c>
      <c r="D65" t="s">
        <v>55</v>
      </c>
      <c r="E65" t="s">
        <v>56</v>
      </c>
      <c r="F65">
        <v>4</v>
      </c>
      <c r="G65">
        <v>40.065365059576777</v>
      </c>
      <c r="H65">
        <v>25.23064360495534</v>
      </c>
      <c r="I65">
        <v>1.57</v>
      </c>
      <c r="J65">
        <v>1.5</v>
      </c>
      <c r="K65">
        <v>0.4</v>
      </c>
      <c r="L65">
        <v>0.3</v>
      </c>
      <c r="M65">
        <v>8</v>
      </c>
      <c r="N65">
        <v>170</v>
      </c>
      <c r="Q65">
        <v>0.39423907809754261</v>
      </c>
      <c r="R65">
        <v>2986346.165161836</v>
      </c>
      <c r="S65">
        <v>-4.453220626928006E-3</v>
      </c>
      <c r="T65">
        <v>1323.2635029237761</v>
      </c>
      <c r="U65">
        <v>840.6812118359037</v>
      </c>
      <c r="V65">
        <v>292.75741215127789</v>
      </c>
      <c r="W65">
        <v>2.871596676778569</v>
      </c>
      <c r="X65" t="s">
        <v>57</v>
      </c>
      <c r="Z65">
        <v>740.75</v>
      </c>
      <c r="AA65">
        <v>95.163399999999996</v>
      </c>
      <c r="AB65">
        <v>40.427799999999998</v>
      </c>
      <c r="AC65">
        <v>13.885844288544069</v>
      </c>
      <c r="AD65">
        <v>48.028562386622042</v>
      </c>
      <c r="AE65">
        <v>48.028562386622042</v>
      </c>
      <c r="AF65" t="s">
        <v>58</v>
      </c>
      <c r="AG65" t="b">
        <v>1</v>
      </c>
      <c r="AH65">
        <v>3.4588147028442462</v>
      </c>
      <c r="AI65">
        <v>741.02700000000004</v>
      </c>
      <c r="AJ65">
        <v>91.310100000000006</v>
      </c>
      <c r="AK65">
        <v>39.358900000000013</v>
      </c>
      <c r="AL65">
        <v>13.6857985977454</v>
      </c>
      <c r="AM65">
        <v>48.460825725719239</v>
      </c>
      <c r="AN65">
        <v>48.460825725719239</v>
      </c>
      <c r="AO65" t="s">
        <v>58</v>
      </c>
      <c r="AP65" t="b">
        <v>1</v>
      </c>
      <c r="AQ65">
        <v>3.5409571008667839</v>
      </c>
      <c r="AR65">
        <v>741.02700000000004</v>
      </c>
      <c r="AS65">
        <v>48.460825725719239</v>
      </c>
      <c r="AT65">
        <v>3.5409571008667839</v>
      </c>
      <c r="AU65" s="5">
        <v>36.20023681711227</v>
      </c>
      <c r="AV65" s="5">
        <v>51.707701049342425</v>
      </c>
      <c r="AW65" s="5">
        <v>2.6450949543474875</v>
      </c>
      <c r="AX65" s="5">
        <v>3.7782012266248581</v>
      </c>
      <c r="AY65" t="s">
        <v>59</v>
      </c>
      <c r="AZ65" t="s">
        <v>60</v>
      </c>
      <c r="BA65" s="23">
        <f t="shared" si="0"/>
        <v>0</v>
      </c>
      <c r="BB65" s="23">
        <f>IF(AND(ISNUMBER(H65),Metadata!$H$5&gt;Metadata!$G$5),MAX(Metadata!$G$5-H65,0,H65-Metadata!$H$5)/(Metadata!$H$5-Metadata!$G$5),"Missing input")</f>
        <v>0</v>
      </c>
      <c r="BC65" s="23">
        <f>IF(AND(ISNUMBER(L65),Metadata!$H$8&gt;Metadata!$G$8),MAX(Metadata!$G$8-L65,0,L65-Metadata!$H$8)/(Metadata!$H$8-Metadata!$G$8),"Missing input")</f>
        <v>0</v>
      </c>
    </row>
    <row r="66" spans="1:55" x14ac:dyDescent="0.2">
      <c r="A66" t="s">
        <v>132</v>
      </c>
      <c r="B66" t="s">
        <v>128</v>
      </c>
      <c r="C66" t="s">
        <v>84</v>
      </c>
      <c r="D66" t="s">
        <v>55</v>
      </c>
      <c r="E66" t="s">
        <v>56</v>
      </c>
      <c r="F66">
        <v>5</v>
      </c>
      <c r="G66">
        <v>44.691650234033148</v>
      </c>
      <c r="H66">
        <v>35.278860063057749</v>
      </c>
      <c r="I66">
        <v>1.57</v>
      </c>
      <c r="J66">
        <v>1.5</v>
      </c>
      <c r="K66">
        <v>0.4</v>
      </c>
      <c r="L66">
        <v>0.3</v>
      </c>
      <c r="M66">
        <v>8</v>
      </c>
      <c r="N66">
        <v>170</v>
      </c>
      <c r="Q66">
        <v>0.39423907809754261</v>
      </c>
      <c r="R66">
        <v>4683732.748780732</v>
      </c>
      <c r="S66">
        <v>-4.8991046405966439E-3</v>
      </c>
      <c r="T66">
        <v>2061.9786008310161</v>
      </c>
      <c r="U66">
        <v>858.39053614678062</v>
      </c>
      <c r="V66">
        <v>456.18995593606547</v>
      </c>
      <c r="W66">
        <v>1.881651546635724</v>
      </c>
      <c r="X66" t="s">
        <v>57</v>
      </c>
      <c r="Z66">
        <v>894.65800000000002</v>
      </c>
      <c r="AA66">
        <v>95.163399999999996</v>
      </c>
      <c r="AB66">
        <v>31.512799999999999</v>
      </c>
      <c r="AC66">
        <v>13.656885523357481</v>
      </c>
      <c r="AD66">
        <v>34.120527988238763</v>
      </c>
      <c r="AE66">
        <v>34.120527988238763</v>
      </c>
      <c r="AF66" t="s">
        <v>58</v>
      </c>
      <c r="AG66" t="b">
        <v>1</v>
      </c>
      <c r="AH66">
        <v>2.498412096219313</v>
      </c>
      <c r="AI66">
        <v>898.21</v>
      </c>
      <c r="AJ66">
        <v>91.310100000000006</v>
      </c>
      <c r="AK66">
        <v>32.289299999999997</v>
      </c>
      <c r="AL66">
        <v>13.16793878198567</v>
      </c>
      <c r="AM66">
        <v>33.685201714856717</v>
      </c>
      <c r="AN66">
        <v>33.685201714856717</v>
      </c>
      <c r="AO66" t="s">
        <v>58</v>
      </c>
      <c r="AP66" t="b">
        <v>1</v>
      </c>
      <c r="AQ66">
        <v>2.5581225940190109</v>
      </c>
      <c r="AR66">
        <v>898.21</v>
      </c>
      <c r="AS66">
        <v>34.120527988238763</v>
      </c>
      <c r="AT66">
        <v>2.5581225940190109</v>
      </c>
      <c r="AU66" s="5">
        <v>25.488034407214357</v>
      </c>
      <c r="AV66" s="5">
        <v>36.406603363450756</v>
      </c>
      <c r="AW66" s="5">
        <v>1.9109175777322012</v>
      </c>
      <c r="AX66" s="5">
        <v>2.7295168078182845</v>
      </c>
      <c r="AY66" t="s">
        <v>59</v>
      </c>
      <c r="AZ66" t="s">
        <v>60</v>
      </c>
      <c r="BA66" s="23">
        <f t="shared" ref="BA66:BA129" si="1">IF(COUNT(BB66:BC66)=2,MAX(BB66:BC66),"Missing input")</f>
        <v>0</v>
      </c>
      <c r="BB66" s="23">
        <f>IF(AND(ISNUMBER(H66),Metadata!$H$5&gt;Metadata!$G$5),MAX(Metadata!$G$5-H66,0,H66-Metadata!$H$5)/(Metadata!$H$5-Metadata!$G$5),"Missing input")</f>
        <v>0</v>
      </c>
      <c r="BC66" s="23">
        <f>IF(AND(ISNUMBER(L66),Metadata!$H$8&gt;Metadata!$G$8),MAX(Metadata!$G$8-L66,0,L66-Metadata!$H$8)/(Metadata!$H$8-Metadata!$G$8),"Missing input")</f>
        <v>0</v>
      </c>
    </row>
    <row r="67" spans="1:55" x14ac:dyDescent="0.2">
      <c r="A67" t="s">
        <v>133</v>
      </c>
      <c r="B67" t="s">
        <v>128</v>
      </c>
      <c r="C67" t="s">
        <v>84</v>
      </c>
      <c r="D67" t="s">
        <v>55</v>
      </c>
      <c r="E67" t="s">
        <v>56</v>
      </c>
      <c r="F67">
        <v>6</v>
      </c>
      <c r="G67">
        <v>33.086500490231572</v>
      </c>
      <c r="H67">
        <v>19.79580616436397</v>
      </c>
      <c r="I67">
        <v>1.57</v>
      </c>
      <c r="J67">
        <v>1.5</v>
      </c>
      <c r="K67">
        <v>0.4</v>
      </c>
      <c r="L67">
        <v>0.3</v>
      </c>
      <c r="M67">
        <v>8</v>
      </c>
      <c r="N67">
        <v>170</v>
      </c>
      <c r="Q67">
        <v>0.39423907809754261</v>
      </c>
      <c r="R67">
        <v>1918643.176085273</v>
      </c>
      <c r="S67">
        <v>-3.9746266455871794E-3</v>
      </c>
      <c r="T67">
        <v>915.0391797947683</v>
      </c>
      <c r="U67">
        <v>811.90302939696062</v>
      </c>
      <c r="V67">
        <v>202.44229641477179</v>
      </c>
      <c r="W67">
        <v>4.0105405035195876</v>
      </c>
      <c r="X67" t="s">
        <v>57</v>
      </c>
      <c r="Z67">
        <v>586.58500000000004</v>
      </c>
      <c r="AA67">
        <v>95.163399999999996</v>
      </c>
      <c r="AB67">
        <v>44.910200000000003</v>
      </c>
      <c r="AC67">
        <v>13.90249984256927</v>
      </c>
      <c r="AD67">
        <v>64.771209459683206</v>
      </c>
      <c r="AE67">
        <v>64.771209459683206</v>
      </c>
      <c r="AF67" t="s">
        <v>58</v>
      </c>
      <c r="AG67" t="b">
        <v>1</v>
      </c>
      <c r="AH67">
        <v>4.6589613517818291</v>
      </c>
      <c r="AI67">
        <v>582.97699999999998</v>
      </c>
      <c r="AJ67">
        <v>91.310100000000006</v>
      </c>
      <c r="AK67">
        <v>39.358900000000013</v>
      </c>
      <c r="AL67">
        <v>13.44490320763957</v>
      </c>
      <c r="AM67">
        <v>63.916763728420626</v>
      </c>
      <c r="AN67">
        <v>63.916763728420626</v>
      </c>
      <c r="AO67" t="s">
        <v>58</v>
      </c>
      <c r="AP67" t="b">
        <v>1</v>
      </c>
      <c r="AQ67">
        <v>4.7539772314688209</v>
      </c>
      <c r="AR67">
        <v>586.58500000000004</v>
      </c>
      <c r="AS67">
        <v>64.771209459683206</v>
      </c>
      <c r="AT67">
        <v>4.7539772314688209</v>
      </c>
      <c r="AU67" s="5">
        <v>48.384093466383355</v>
      </c>
      <c r="AV67" s="5">
        <v>69.110880493481972</v>
      </c>
      <c r="AW67" s="5">
        <v>3.5512209919072091</v>
      </c>
      <c r="AX67" s="5">
        <v>5.0724937059772319</v>
      </c>
      <c r="AY67" t="s">
        <v>59</v>
      </c>
      <c r="AZ67" t="s">
        <v>60</v>
      </c>
      <c r="BA67" s="23">
        <f t="shared" si="1"/>
        <v>0</v>
      </c>
      <c r="BB67" s="23">
        <f>IF(AND(ISNUMBER(H67),Metadata!$H$5&gt;Metadata!$G$5),MAX(Metadata!$G$5-H67,0,H67-Metadata!$H$5)/(Metadata!$H$5-Metadata!$G$5),"Missing input")</f>
        <v>0</v>
      </c>
      <c r="BC67" s="23">
        <f>IF(AND(ISNUMBER(L67),Metadata!$H$8&gt;Metadata!$G$8),MAX(Metadata!$G$8-L67,0,L67-Metadata!$H$8)/(Metadata!$H$8-Metadata!$G$8),"Missing input")</f>
        <v>0</v>
      </c>
    </row>
    <row r="68" spans="1:55" x14ac:dyDescent="0.2">
      <c r="A68" t="s">
        <v>134</v>
      </c>
      <c r="B68" t="s">
        <v>128</v>
      </c>
      <c r="C68" t="s">
        <v>84</v>
      </c>
      <c r="D68" t="s">
        <v>55</v>
      </c>
      <c r="E68" t="s">
        <v>56</v>
      </c>
      <c r="F68">
        <v>7</v>
      </c>
      <c r="G68">
        <v>42.943727860216583</v>
      </c>
      <c r="H68">
        <v>31.604415760045629</v>
      </c>
      <c r="I68">
        <v>1.57</v>
      </c>
      <c r="J68">
        <v>1.5</v>
      </c>
      <c r="K68">
        <v>0.4</v>
      </c>
      <c r="L68">
        <v>0.3</v>
      </c>
      <c r="M68">
        <v>8</v>
      </c>
      <c r="N68">
        <v>170</v>
      </c>
      <c r="Q68">
        <v>0.39423907809754261</v>
      </c>
      <c r="R68">
        <v>4025355.613741619</v>
      </c>
      <c r="S68">
        <v>-4.7999265907321554E-3</v>
      </c>
      <c r="T68">
        <v>1767.125197942283</v>
      </c>
      <c r="U68">
        <v>851.81245071216506</v>
      </c>
      <c r="V68">
        <v>390.95690219962017</v>
      </c>
      <c r="W68">
        <v>2.178788623297498</v>
      </c>
      <c r="X68" t="s">
        <v>57</v>
      </c>
      <c r="Z68">
        <v>845.82299999999998</v>
      </c>
      <c r="AA68">
        <v>95.163399999999996</v>
      </c>
      <c r="AB68">
        <v>34.534999999999997</v>
      </c>
      <c r="AC68">
        <v>13.90648828233658</v>
      </c>
      <c r="AD68">
        <v>37.895228704470867</v>
      </c>
      <c r="AE68">
        <v>37.895228704470867</v>
      </c>
      <c r="AF68" t="s">
        <v>58</v>
      </c>
      <c r="AG68" t="b">
        <v>1</v>
      </c>
      <c r="AH68">
        <v>2.7250034613414051</v>
      </c>
      <c r="AI68">
        <v>840.96799999999996</v>
      </c>
      <c r="AJ68">
        <v>91.310100000000006</v>
      </c>
      <c r="AK68">
        <v>34.127200000000002</v>
      </c>
      <c r="AL68">
        <v>13.27983186285714</v>
      </c>
      <c r="AM68">
        <v>38.408852613538649</v>
      </c>
      <c r="AN68">
        <v>38.408852613538649</v>
      </c>
      <c r="AO68" t="s">
        <v>58</v>
      </c>
      <c r="AP68" t="b">
        <v>1</v>
      </c>
      <c r="AQ68">
        <v>2.8922694963454929</v>
      </c>
      <c r="AR68">
        <v>845.82299999999998</v>
      </c>
      <c r="AS68">
        <v>38.408852613538649</v>
      </c>
      <c r="AT68">
        <v>2.8922694963454929</v>
      </c>
      <c r="AU68" s="5">
        <v>28.69141290231337</v>
      </c>
      <c r="AV68" s="5">
        <v>40.982245738645737</v>
      </c>
      <c r="AW68" s="5">
        <v>2.1605253137700831</v>
      </c>
      <c r="AX68" s="5">
        <v>3.0860515526006407</v>
      </c>
      <c r="AY68" t="s">
        <v>59</v>
      </c>
      <c r="AZ68" t="s">
        <v>60</v>
      </c>
      <c r="BA68" s="23">
        <f t="shared" si="1"/>
        <v>0</v>
      </c>
      <c r="BB68" s="23">
        <f>IF(AND(ISNUMBER(H68),Metadata!$H$5&gt;Metadata!$G$5),MAX(Metadata!$G$5-H68,0,H68-Metadata!$H$5)/(Metadata!$H$5-Metadata!$G$5),"Missing input")</f>
        <v>0</v>
      </c>
      <c r="BC68" s="23">
        <f>IF(AND(ISNUMBER(L68),Metadata!$H$8&gt;Metadata!$G$8),MAX(Metadata!$G$8-L68,0,L68-Metadata!$H$8)/(Metadata!$H$8-Metadata!$G$8),"Missing input")</f>
        <v>0</v>
      </c>
    </row>
    <row r="69" spans="1:55" x14ac:dyDescent="0.2">
      <c r="A69" t="s">
        <v>135</v>
      </c>
      <c r="B69" t="s">
        <v>128</v>
      </c>
      <c r="C69" t="s">
        <v>84</v>
      </c>
      <c r="D69" t="s">
        <v>55</v>
      </c>
      <c r="E69" t="s">
        <v>56</v>
      </c>
      <c r="F69">
        <v>8</v>
      </c>
      <c r="G69">
        <v>29.155454969686971</v>
      </c>
      <c r="H69">
        <v>7.3398505058277053</v>
      </c>
      <c r="I69">
        <v>1.57</v>
      </c>
      <c r="J69">
        <v>1.5</v>
      </c>
      <c r="K69">
        <v>0.4</v>
      </c>
      <c r="L69">
        <v>0.3</v>
      </c>
      <c r="M69">
        <v>8</v>
      </c>
      <c r="N69">
        <v>170</v>
      </c>
      <c r="Q69">
        <v>0.39423907809754261</v>
      </c>
      <c r="R69">
        <v>595711.36772068124</v>
      </c>
      <c r="S69">
        <v>-2.4983930716973822E-3</v>
      </c>
      <c r="T69">
        <v>480.50831710260849</v>
      </c>
      <c r="U69">
        <v>794.34083309214418</v>
      </c>
      <c r="V69">
        <v>106.3071498014621</v>
      </c>
      <c r="W69">
        <v>7.4721299044856844</v>
      </c>
      <c r="X69" t="s">
        <v>57</v>
      </c>
      <c r="Z69">
        <v>369.18299999999999</v>
      </c>
      <c r="AA69">
        <v>95.163399999999996</v>
      </c>
      <c r="AB69">
        <v>65.006200000000007</v>
      </c>
      <c r="AC69">
        <v>14.16634991130258</v>
      </c>
      <c r="AE69">
        <v>95.163399999999996</v>
      </c>
      <c r="AF69" t="s">
        <v>62</v>
      </c>
      <c r="AG69" t="b">
        <v>0</v>
      </c>
      <c r="AH69">
        <v>6.7175666700195036</v>
      </c>
      <c r="AI69">
        <v>367.50700000000001</v>
      </c>
      <c r="AJ69">
        <v>91.310100000000006</v>
      </c>
      <c r="AK69">
        <v>69.054900000000004</v>
      </c>
      <c r="AL69">
        <v>13.73828984932593</v>
      </c>
      <c r="AN69">
        <v>91.310100000000006</v>
      </c>
      <c r="AO69" t="s">
        <v>62</v>
      </c>
      <c r="AP69" t="b">
        <v>0</v>
      </c>
      <c r="AQ69">
        <v>6.6463949298958891</v>
      </c>
      <c r="AR69">
        <v>369.18299999999999</v>
      </c>
      <c r="AS69">
        <v>95.163399999999996</v>
      </c>
      <c r="AT69">
        <v>6.7175666700195036</v>
      </c>
      <c r="AU69" s="5">
        <v>71.087059799999992</v>
      </c>
      <c r="AV69" s="5">
        <v>101.53934779999999</v>
      </c>
      <c r="AW69" s="5">
        <v>5.0180223025045692</v>
      </c>
      <c r="AX69" s="5">
        <v>7.1676436369108103</v>
      </c>
      <c r="AY69" t="s">
        <v>59</v>
      </c>
      <c r="AZ69" t="s">
        <v>60</v>
      </c>
      <c r="BA69" s="23">
        <f t="shared" si="1"/>
        <v>0</v>
      </c>
      <c r="BB69" s="23">
        <f>IF(AND(ISNUMBER(H69),Metadata!$H$5&gt;Metadata!$G$5),MAX(Metadata!$G$5-H69,0,H69-Metadata!$H$5)/(Metadata!$H$5-Metadata!$G$5),"Missing input")</f>
        <v>0</v>
      </c>
      <c r="BC69" s="23">
        <f>IF(AND(ISNUMBER(L69),Metadata!$H$8&gt;Metadata!$G$8),MAX(Metadata!$G$8-L69,0,L69-Metadata!$H$8)/(Metadata!$H$8-Metadata!$G$8),"Missing input")</f>
        <v>0</v>
      </c>
    </row>
    <row r="70" spans="1:55" x14ac:dyDescent="0.2">
      <c r="A70" t="s">
        <v>136</v>
      </c>
      <c r="B70" t="s">
        <v>128</v>
      </c>
      <c r="C70" t="s">
        <v>84</v>
      </c>
      <c r="D70" t="s">
        <v>55</v>
      </c>
      <c r="E70" t="s">
        <v>56</v>
      </c>
      <c r="F70">
        <v>9</v>
      </c>
      <c r="G70">
        <v>59.748609235827082</v>
      </c>
      <c r="H70">
        <v>37.783512331141722</v>
      </c>
      <c r="I70">
        <v>1.57</v>
      </c>
      <c r="J70">
        <v>1.5</v>
      </c>
      <c r="K70">
        <v>0.4</v>
      </c>
      <c r="L70">
        <v>0.3</v>
      </c>
      <c r="M70">
        <v>8</v>
      </c>
      <c r="N70">
        <v>170</v>
      </c>
      <c r="Q70">
        <v>0.39423907809754261</v>
      </c>
      <c r="R70">
        <v>6726258.2664913209</v>
      </c>
      <c r="S70">
        <v>-4.9292244790220567E-3</v>
      </c>
      <c r="T70">
        <v>2958.9793454838732</v>
      </c>
      <c r="U70">
        <v>910.43038385422085</v>
      </c>
      <c r="V70">
        <v>654.64144811590108</v>
      </c>
      <c r="W70">
        <v>1.3907313483961281</v>
      </c>
      <c r="X70" t="s">
        <v>57</v>
      </c>
      <c r="Z70">
        <v>1140.28</v>
      </c>
      <c r="AA70">
        <v>95.163399999999996</v>
      </c>
      <c r="AB70">
        <v>29.7498</v>
      </c>
      <c r="AC70">
        <v>13.98171679672984</v>
      </c>
      <c r="AD70">
        <v>31.077048450086231</v>
      </c>
      <c r="AE70">
        <v>31.077048450086231</v>
      </c>
      <c r="AF70" t="s">
        <v>58</v>
      </c>
      <c r="AG70" t="b">
        <v>1</v>
      </c>
      <c r="AH70">
        <v>2.2226918841150312</v>
      </c>
      <c r="AI70">
        <v>1143.6500000000001</v>
      </c>
      <c r="AJ70">
        <v>91.310100000000006</v>
      </c>
      <c r="AK70">
        <v>30.5745</v>
      </c>
      <c r="AL70">
        <v>13.237512762319289</v>
      </c>
      <c r="AM70">
        <v>31.92448418152506</v>
      </c>
      <c r="AN70">
        <v>31.92448418152506</v>
      </c>
      <c r="AO70" t="s">
        <v>58</v>
      </c>
      <c r="AP70" t="b">
        <v>1</v>
      </c>
      <c r="AQ70">
        <v>2.4116678680301948</v>
      </c>
      <c r="AR70">
        <v>1143.6500000000001</v>
      </c>
      <c r="AS70">
        <v>31.92448418152506</v>
      </c>
      <c r="AT70">
        <v>2.4116678680301948</v>
      </c>
      <c r="AU70" s="5">
        <v>23.847589683599221</v>
      </c>
      <c r="AV70" s="5">
        <v>34.06342462168724</v>
      </c>
      <c r="AW70" s="5">
        <v>1.8015158974185554</v>
      </c>
      <c r="AX70" s="5">
        <v>2.5732496151882178</v>
      </c>
      <c r="AY70" t="s">
        <v>59</v>
      </c>
      <c r="AZ70" t="s">
        <v>60</v>
      </c>
      <c r="BA70" s="23">
        <f t="shared" si="1"/>
        <v>0</v>
      </c>
      <c r="BB70" s="23">
        <f>IF(AND(ISNUMBER(H70),Metadata!$H$5&gt;Metadata!$G$5),MAX(Metadata!$G$5-H70,0,H70-Metadata!$H$5)/(Metadata!$H$5-Metadata!$G$5),"Missing input")</f>
        <v>0</v>
      </c>
      <c r="BC70" s="23">
        <f>IF(AND(ISNUMBER(L70),Metadata!$H$8&gt;Metadata!$G$8),MAX(Metadata!$G$8-L70,0,L70-Metadata!$H$8)/(Metadata!$H$8-Metadata!$G$8),"Missing input")</f>
        <v>0</v>
      </c>
    </row>
    <row r="71" spans="1:55" x14ac:dyDescent="0.2">
      <c r="A71" t="s">
        <v>137</v>
      </c>
      <c r="B71" t="s">
        <v>128</v>
      </c>
      <c r="C71" t="s">
        <v>84</v>
      </c>
      <c r="D71" t="s">
        <v>55</v>
      </c>
      <c r="E71" t="s">
        <v>56</v>
      </c>
      <c r="F71">
        <v>10</v>
      </c>
      <c r="G71">
        <v>34.746337553007109</v>
      </c>
      <c r="H71">
        <v>23.7414613202046</v>
      </c>
      <c r="I71">
        <v>1.57</v>
      </c>
      <c r="J71">
        <v>1.5</v>
      </c>
      <c r="K71">
        <v>0.4</v>
      </c>
      <c r="L71">
        <v>0.3</v>
      </c>
      <c r="M71">
        <v>8</v>
      </c>
      <c r="N71">
        <v>170</v>
      </c>
      <c r="Q71">
        <v>0.39423907809754261</v>
      </c>
      <c r="R71">
        <v>2428507.8121004719</v>
      </c>
      <c r="S71">
        <v>-4.3383516724916152E-3</v>
      </c>
      <c r="T71">
        <v>1111.217336052197</v>
      </c>
      <c r="U71">
        <v>819.00327672172477</v>
      </c>
      <c r="V71">
        <v>245.84454337438001</v>
      </c>
      <c r="W71">
        <v>3.331386840970151</v>
      </c>
      <c r="X71" t="s">
        <v>57</v>
      </c>
      <c r="Z71">
        <v>654.80999999999995</v>
      </c>
      <c r="AA71">
        <v>95.163399999999996</v>
      </c>
      <c r="AB71">
        <v>42.220700000000001</v>
      </c>
      <c r="AC71">
        <v>13.98415447987851</v>
      </c>
      <c r="AD71">
        <v>51.439670626400243</v>
      </c>
      <c r="AE71">
        <v>51.439670626400243</v>
      </c>
      <c r="AF71" t="s">
        <v>58</v>
      </c>
      <c r="AG71" t="b">
        <v>1</v>
      </c>
      <c r="AH71">
        <v>3.6784255137066482</v>
      </c>
      <c r="AI71">
        <v>653.10799999999995</v>
      </c>
      <c r="AJ71">
        <v>91.310100000000006</v>
      </c>
      <c r="AK71">
        <v>39.358900000000013</v>
      </c>
      <c r="AL71">
        <v>13.681841248470009</v>
      </c>
      <c r="AM71">
        <v>51.820455572751293</v>
      </c>
      <c r="AN71">
        <v>51.820455572751293</v>
      </c>
      <c r="AO71" t="s">
        <v>58</v>
      </c>
      <c r="AP71" t="b">
        <v>1</v>
      </c>
      <c r="AQ71">
        <v>3.7875352177870201</v>
      </c>
      <c r="AR71">
        <v>654.80999999999995</v>
      </c>
      <c r="AS71">
        <v>51.820455572751293</v>
      </c>
      <c r="AT71">
        <v>3.7875352177870201</v>
      </c>
      <c r="AU71" s="5">
        <v>38.709880312845215</v>
      </c>
      <c r="AV71" s="5">
        <v>55.292426096125624</v>
      </c>
      <c r="AW71" s="5">
        <v>2.8292888076869041</v>
      </c>
      <c r="AX71" s="5">
        <v>4.0413000773787502</v>
      </c>
      <c r="AY71" t="s">
        <v>59</v>
      </c>
      <c r="AZ71" t="s">
        <v>60</v>
      </c>
      <c r="BA71" s="23">
        <f t="shared" si="1"/>
        <v>0</v>
      </c>
      <c r="BB71" s="23">
        <f>IF(AND(ISNUMBER(H71),Metadata!$H$5&gt;Metadata!$G$5),MAX(Metadata!$G$5-H71,0,H71-Metadata!$H$5)/(Metadata!$H$5-Metadata!$G$5),"Missing input")</f>
        <v>0</v>
      </c>
      <c r="BC71" s="23">
        <f>IF(AND(ISNUMBER(L71),Metadata!$H$8&gt;Metadata!$G$8),MAX(Metadata!$G$8-L71,0,L71-Metadata!$H$8)/(Metadata!$H$8-Metadata!$G$8),"Missing input")</f>
        <v>0</v>
      </c>
    </row>
    <row r="72" spans="1:55" x14ac:dyDescent="0.2">
      <c r="A72" t="s">
        <v>138</v>
      </c>
      <c r="B72" t="s">
        <v>128</v>
      </c>
      <c r="C72" t="s">
        <v>84</v>
      </c>
      <c r="D72" t="s">
        <v>55</v>
      </c>
      <c r="E72" t="s">
        <v>56</v>
      </c>
      <c r="F72">
        <v>11</v>
      </c>
      <c r="G72">
        <v>24.502161634428251</v>
      </c>
      <c r="H72">
        <v>33.048591474592847</v>
      </c>
      <c r="I72">
        <v>1.57</v>
      </c>
      <c r="J72">
        <v>1.5</v>
      </c>
      <c r="K72">
        <v>0.4</v>
      </c>
      <c r="L72">
        <v>0.3</v>
      </c>
      <c r="M72">
        <v>8</v>
      </c>
      <c r="N72">
        <v>170</v>
      </c>
      <c r="Q72">
        <v>0.39423907809754261</v>
      </c>
      <c r="R72">
        <v>2383007.1153019848</v>
      </c>
      <c r="S72">
        <v>-4.8471150085563474E-3</v>
      </c>
      <c r="T72">
        <v>1134.971999997148</v>
      </c>
      <c r="U72">
        <v>771.94074772093677</v>
      </c>
      <c r="V72">
        <v>251.099999999369</v>
      </c>
      <c r="W72">
        <v>3.0742363509473378</v>
      </c>
      <c r="X72" t="s">
        <v>57</v>
      </c>
      <c r="Z72">
        <v>575.88</v>
      </c>
      <c r="AA72">
        <v>95.163399999999996</v>
      </c>
      <c r="AB72">
        <v>33.779499999999999</v>
      </c>
      <c r="AC72">
        <v>14.028619949494949</v>
      </c>
      <c r="AD72">
        <v>37.925328952396107</v>
      </c>
      <c r="AE72">
        <v>37.925328952396107</v>
      </c>
      <c r="AF72" t="s">
        <v>58</v>
      </c>
      <c r="AG72" t="b">
        <v>1</v>
      </c>
      <c r="AH72">
        <v>2.7034255036441759</v>
      </c>
      <c r="AI72">
        <v>573.88099999999997</v>
      </c>
      <c r="AJ72">
        <v>91.310100000000006</v>
      </c>
      <c r="AK72">
        <v>32.289299999999997</v>
      </c>
      <c r="AL72">
        <v>13.45584048232063</v>
      </c>
      <c r="AM72">
        <v>38.221694474256708</v>
      </c>
      <c r="AN72">
        <v>38.221694474256708</v>
      </c>
      <c r="AO72" t="s">
        <v>58</v>
      </c>
      <c r="AP72" t="b">
        <v>1</v>
      </c>
      <c r="AQ72">
        <v>2.84052820962581</v>
      </c>
      <c r="AR72">
        <v>575.88</v>
      </c>
      <c r="AS72">
        <v>38.221694474256708</v>
      </c>
      <c r="AT72">
        <v>2.84052820962581</v>
      </c>
      <c r="AU72" s="5">
        <v>28.55160577226976</v>
      </c>
      <c r="AV72" s="5">
        <v>40.782548004031902</v>
      </c>
      <c r="AW72" s="5">
        <v>2.12187457259048</v>
      </c>
      <c r="AX72" s="5">
        <v>3.0308435996707392</v>
      </c>
      <c r="AY72" t="s">
        <v>59</v>
      </c>
      <c r="AZ72" t="s">
        <v>60</v>
      </c>
      <c r="BA72" s="23">
        <f t="shared" si="1"/>
        <v>0</v>
      </c>
      <c r="BB72" s="23">
        <f>IF(AND(ISNUMBER(H72),Metadata!$H$5&gt;Metadata!$G$5),MAX(Metadata!$G$5-H72,0,H72-Metadata!$H$5)/(Metadata!$H$5-Metadata!$G$5),"Missing input")</f>
        <v>0</v>
      </c>
      <c r="BC72" s="23">
        <f>IF(AND(ISNUMBER(L72),Metadata!$H$8&gt;Metadata!$G$8),MAX(Metadata!$G$8-L72,0,L72-Metadata!$H$8)/(Metadata!$H$8-Metadata!$G$8),"Missing input")</f>
        <v>0</v>
      </c>
    </row>
    <row r="73" spans="1:55" x14ac:dyDescent="0.2">
      <c r="A73" t="s">
        <v>139</v>
      </c>
      <c r="B73" t="s">
        <v>128</v>
      </c>
      <c r="C73" t="s">
        <v>84</v>
      </c>
      <c r="D73" t="s">
        <v>55</v>
      </c>
      <c r="E73" t="s">
        <v>56</v>
      </c>
      <c r="F73">
        <v>12</v>
      </c>
      <c r="G73">
        <v>56.241153781572699</v>
      </c>
      <c r="H73">
        <v>14.78764467513273</v>
      </c>
      <c r="I73">
        <v>1.57</v>
      </c>
      <c r="J73">
        <v>1.5</v>
      </c>
      <c r="K73">
        <v>0.4</v>
      </c>
      <c r="L73">
        <v>0.3</v>
      </c>
      <c r="M73">
        <v>8</v>
      </c>
      <c r="N73">
        <v>170</v>
      </c>
      <c r="Q73">
        <v>0.39423907809754261</v>
      </c>
      <c r="R73">
        <v>2448743.9197241841</v>
      </c>
      <c r="S73">
        <v>-3.4121631543552449E-3</v>
      </c>
      <c r="T73">
        <v>1060.8343060705299</v>
      </c>
      <c r="U73">
        <v>898.95604971992384</v>
      </c>
      <c r="V73">
        <v>234.69785532533859</v>
      </c>
      <c r="W73">
        <v>3.8302695543331211</v>
      </c>
      <c r="X73" t="s">
        <v>57</v>
      </c>
      <c r="Z73">
        <v>730.7</v>
      </c>
      <c r="AA73">
        <v>95.163399999999996</v>
      </c>
      <c r="AB73">
        <v>51.296399999999998</v>
      </c>
      <c r="AC73">
        <v>13.079874652547989</v>
      </c>
      <c r="AD73">
        <v>77.90967540837805</v>
      </c>
      <c r="AE73">
        <v>77.90967540837805</v>
      </c>
      <c r="AF73" t="s">
        <v>58</v>
      </c>
      <c r="AG73" t="b">
        <v>1</v>
      </c>
      <c r="AH73">
        <v>5.9564542840019543</v>
      </c>
      <c r="AI73">
        <v>727.44500000000005</v>
      </c>
      <c r="AJ73">
        <v>91.310100000000006</v>
      </c>
      <c r="AK73">
        <v>51.757599999999996</v>
      </c>
      <c r="AL73">
        <v>12.74477740679265</v>
      </c>
      <c r="AM73">
        <v>78.466409726225137</v>
      </c>
      <c r="AN73">
        <v>78.466409726225137</v>
      </c>
      <c r="AO73" t="s">
        <v>58</v>
      </c>
      <c r="AP73" t="b">
        <v>1</v>
      </c>
      <c r="AQ73">
        <v>6.1567501119638628</v>
      </c>
      <c r="AR73">
        <v>730.7</v>
      </c>
      <c r="AS73">
        <v>78.466409726225137</v>
      </c>
      <c r="AT73">
        <v>6.1567501119638628</v>
      </c>
      <c r="AU73" s="5">
        <v>58.614408065490174</v>
      </c>
      <c r="AV73" s="5">
        <v>83.723659177882212</v>
      </c>
      <c r="AW73" s="5">
        <v>4.5990923336370058</v>
      </c>
      <c r="AX73" s="5">
        <v>6.569252369465441</v>
      </c>
      <c r="AY73" t="s">
        <v>59</v>
      </c>
      <c r="AZ73" t="s">
        <v>60</v>
      </c>
      <c r="BA73" s="23">
        <f t="shared" si="1"/>
        <v>0</v>
      </c>
      <c r="BB73" s="23">
        <f>IF(AND(ISNUMBER(H73),Metadata!$H$5&gt;Metadata!$G$5),MAX(Metadata!$G$5-H73,0,H73-Metadata!$H$5)/(Metadata!$H$5-Metadata!$G$5),"Missing input")</f>
        <v>0</v>
      </c>
      <c r="BC73" s="23">
        <f>IF(AND(ISNUMBER(L73),Metadata!$H$8&gt;Metadata!$G$8),MAX(Metadata!$G$8-L73,0,L73-Metadata!$H$8)/(Metadata!$H$8-Metadata!$G$8),"Missing input")</f>
        <v>0</v>
      </c>
    </row>
    <row r="74" spans="1:55" x14ac:dyDescent="0.2">
      <c r="A74" t="s">
        <v>140</v>
      </c>
      <c r="B74" t="s">
        <v>128</v>
      </c>
      <c r="C74" t="s">
        <v>84</v>
      </c>
      <c r="D74" t="s">
        <v>55</v>
      </c>
      <c r="E74" t="s">
        <v>56</v>
      </c>
      <c r="F74">
        <v>13</v>
      </c>
      <c r="G74">
        <v>49.119901382435643</v>
      </c>
      <c r="H74">
        <v>22.54933477691009</v>
      </c>
      <c r="I74">
        <v>1.57</v>
      </c>
      <c r="J74">
        <v>1.5</v>
      </c>
      <c r="K74">
        <v>0.4</v>
      </c>
      <c r="L74">
        <v>0.3</v>
      </c>
      <c r="M74">
        <v>8</v>
      </c>
      <c r="N74">
        <v>170</v>
      </c>
      <c r="Q74">
        <v>0.39423907809754261</v>
      </c>
      <c r="R74">
        <v>3276584.6264440492</v>
      </c>
      <c r="S74">
        <v>-4.2372791140085214E-3</v>
      </c>
      <c r="T74">
        <v>1412.968799359719</v>
      </c>
      <c r="U74">
        <v>874.50146752436706</v>
      </c>
      <c r="V74">
        <v>312.60371667250428</v>
      </c>
      <c r="W74">
        <v>2.797476232314053</v>
      </c>
      <c r="X74" t="s">
        <v>57</v>
      </c>
      <c r="Z74">
        <v>821.428</v>
      </c>
      <c r="AA74">
        <v>95.163399999999996</v>
      </c>
      <c r="AB74">
        <v>43.7149</v>
      </c>
      <c r="AC74">
        <v>13.83714617486339</v>
      </c>
      <c r="AD74">
        <v>53.494729335592247</v>
      </c>
      <c r="AE74">
        <v>53.494729335592247</v>
      </c>
      <c r="AF74" t="s">
        <v>58</v>
      </c>
      <c r="AG74" t="b">
        <v>1</v>
      </c>
      <c r="AH74">
        <v>3.8660232868516609</v>
      </c>
      <c r="AI74">
        <v>817.19</v>
      </c>
      <c r="AJ74">
        <v>91.310100000000006</v>
      </c>
      <c r="AK74">
        <v>39.358900000000013</v>
      </c>
      <c r="AL74">
        <v>13.53793697674419</v>
      </c>
      <c r="AM74">
        <v>52.915271139612592</v>
      </c>
      <c r="AN74">
        <v>52.915271139612592</v>
      </c>
      <c r="AO74" t="s">
        <v>58</v>
      </c>
      <c r="AP74" t="b">
        <v>1</v>
      </c>
      <c r="AQ74">
        <v>3.9086657908447791</v>
      </c>
      <c r="AR74">
        <v>821.428</v>
      </c>
      <c r="AS74">
        <v>53.494729335592247</v>
      </c>
      <c r="AT74">
        <v>3.9086657908447791</v>
      </c>
      <c r="AU74" s="5">
        <v>39.96056281368741</v>
      </c>
      <c r="AV74" s="5">
        <v>57.078876201076923</v>
      </c>
      <c r="AW74" s="5">
        <v>2.9197733457610497</v>
      </c>
      <c r="AX74" s="5">
        <v>4.1705463988313793</v>
      </c>
      <c r="AY74" t="s">
        <v>59</v>
      </c>
      <c r="AZ74" t="s">
        <v>60</v>
      </c>
      <c r="BA74" s="23">
        <f t="shared" si="1"/>
        <v>0</v>
      </c>
      <c r="BB74" s="23">
        <f>IF(AND(ISNUMBER(H74),Metadata!$H$5&gt;Metadata!$G$5),MAX(Metadata!$G$5-H74,0,H74-Metadata!$H$5)/(Metadata!$H$5-Metadata!$G$5),"Missing input")</f>
        <v>0</v>
      </c>
      <c r="BC74" s="23">
        <f>IF(AND(ISNUMBER(L74),Metadata!$H$8&gt;Metadata!$G$8),MAX(Metadata!$G$8-L74,0,L74-Metadata!$H$8)/(Metadata!$H$8-Metadata!$G$8),"Missing input")</f>
        <v>0</v>
      </c>
    </row>
    <row r="75" spans="1:55" x14ac:dyDescent="0.2">
      <c r="A75" t="s">
        <v>141</v>
      </c>
      <c r="B75" t="s">
        <v>128</v>
      </c>
      <c r="C75" t="s">
        <v>84</v>
      </c>
      <c r="D75" t="s">
        <v>55</v>
      </c>
      <c r="E75" t="s">
        <v>56</v>
      </c>
      <c r="F75">
        <v>14</v>
      </c>
      <c r="G75">
        <v>37.958866376576751</v>
      </c>
      <c r="H75">
        <v>9.8264864335603903</v>
      </c>
      <c r="I75">
        <v>1.57</v>
      </c>
      <c r="J75">
        <v>1.5</v>
      </c>
      <c r="K75">
        <v>0.4</v>
      </c>
      <c r="L75">
        <v>0.3</v>
      </c>
      <c r="M75">
        <v>8</v>
      </c>
      <c r="N75">
        <v>170</v>
      </c>
      <c r="Q75">
        <v>0.39423907809754261</v>
      </c>
      <c r="R75">
        <v>1072728.181448289</v>
      </c>
      <c r="S75">
        <v>-2.8011534495652251E-3</v>
      </c>
      <c r="T75">
        <v>610.81355109044614</v>
      </c>
      <c r="U75">
        <v>832.27923415891269</v>
      </c>
      <c r="V75">
        <v>135.13574139169171</v>
      </c>
      <c r="W75">
        <v>6.1588387023870093</v>
      </c>
      <c r="X75" t="s">
        <v>57</v>
      </c>
      <c r="Z75">
        <v>467.971</v>
      </c>
      <c r="AA75">
        <v>94.999399999999994</v>
      </c>
      <c r="AB75">
        <v>65.006200000000007</v>
      </c>
      <c r="AC75">
        <v>13.530910517799351</v>
      </c>
      <c r="AD75">
        <v>65.215453543169403</v>
      </c>
      <c r="AE75">
        <v>65.215453543169403</v>
      </c>
      <c r="AF75" t="s">
        <v>58</v>
      </c>
      <c r="AG75" t="b">
        <v>1</v>
      </c>
      <c r="AH75">
        <v>4.8197387350526908</v>
      </c>
      <c r="AI75">
        <v>464.32799999999997</v>
      </c>
      <c r="AJ75">
        <v>90.868600000000001</v>
      </c>
      <c r="AK75">
        <v>64.090499999999992</v>
      </c>
      <c r="AL75">
        <v>13.05816359312111</v>
      </c>
      <c r="AN75">
        <v>90.868600000000001</v>
      </c>
      <c r="AO75" t="s">
        <v>62</v>
      </c>
      <c r="AP75" t="b">
        <v>0</v>
      </c>
      <c r="AQ75">
        <v>6.9587579717463894</v>
      </c>
      <c r="AR75">
        <v>467.971</v>
      </c>
      <c r="AS75">
        <v>90.868600000000001</v>
      </c>
      <c r="AT75">
        <v>6.9587579717463894</v>
      </c>
      <c r="AU75" s="5">
        <v>67.878844200000003</v>
      </c>
      <c r="AV75" s="5">
        <v>96.956796199999999</v>
      </c>
      <c r="AW75" s="5">
        <v>5.1981922048945526</v>
      </c>
      <c r="AX75" s="5">
        <v>7.4249947558533975</v>
      </c>
      <c r="AY75" t="s">
        <v>59</v>
      </c>
      <c r="AZ75" t="s">
        <v>60</v>
      </c>
      <c r="BA75" s="23">
        <f t="shared" si="1"/>
        <v>0</v>
      </c>
      <c r="BB75" s="23">
        <f>IF(AND(ISNUMBER(H75),Metadata!$H$5&gt;Metadata!$G$5),MAX(Metadata!$G$5-H75,0,H75-Metadata!$H$5)/(Metadata!$H$5-Metadata!$G$5),"Missing input")</f>
        <v>0</v>
      </c>
      <c r="BC75" s="23">
        <f>IF(AND(ISNUMBER(L75),Metadata!$H$8&gt;Metadata!$G$8),MAX(Metadata!$G$8-L75,0,L75-Metadata!$H$8)/(Metadata!$H$8-Metadata!$G$8),"Missing input")</f>
        <v>0</v>
      </c>
    </row>
    <row r="76" spans="1:55" x14ac:dyDescent="0.2">
      <c r="A76" t="s">
        <v>142</v>
      </c>
      <c r="B76" t="s">
        <v>128</v>
      </c>
      <c r="C76" t="s">
        <v>84</v>
      </c>
      <c r="D76" t="s">
        <v>55</v>
      </c>
      <c r="E76" t="s">
        <v>56</v>
      </c>
      <c r="F76">
        <v>15</v>
      </c>
      <c r="G76">
        <v>27.308053040943211</v>
      </c>
      <c r="H76">
        <v>5.2772178758296739</v>
      </c>
      <c r="I76">
        <v>1.57</v>
      </c>
      <c r="J76">
        <v>1.5</v>
      </c>
      <c r="K76">
        <v>0.4</v>
      </c>
      <c r="L76">
        <v>0.3</v>
      </c>
      <c r="M76">
        <v>8</v>
      </c>
      <c r="N76">
        <v>170</v>
      </c>
      <c r="Q76">
        <v>0.39423907809754261</v>
      </c>
      <c r="R76">
        <v>386052.96198531118</v>
      </c>
      <c r="S76">
        <v>-2.2579237888867062E-3</v>
      </c>
      <c r="T76">
        <v>428.52672237905682</v>
      </c>
      <c r="U76">
        <v>785.67857533200174</v>
      </c>
      <c r="V76">
        <v>94.806796986516986</v>
      </c>
      <c r="W76">
        <v>8.2871545111236866</v>
      </c>
      <c r="X76" t="s">
        <v>57</v>
      </c>
      <c r="Z76">
        <v>325.82100000000003</v>
      </c>
      <c r="AA76">
        <v>95.163399999999996</v>
      </c>
      <c r="AB76">
        <v>65.006200000000007</v>
      </c>
      <c r="AC76">
        <v>14.322969336654429</v>
      </c>
      <c r="AD76">
        <v>65.12774688747632</v>
      </c>
      <c r="AE76">
        <v>65.12774688747632</v>
      </c>
      <c r="AF76" t="s">
        <v>58</v>
      </c>
      <c r="AG76" t="b">
        <v>1</v>
      </c>
      <c r="AH76">
        <v>4.5470841525022001</v>
      </c>
      <c r="AI76">
        <v>325.38400000000001</v>
      </c>
      <c r="AJ76">
        <v>91.310100000000006</v>
      </c>
      <c r="AK76">
        <v>32.289299999999997</v>
      </c>
      <c r="AL76">
        <v>13.905562614107881</v>
      </c>
      <c r="AM76">
        <v>52.135259807582088</v>
      </c>
      <c r="AN76">
        <v>52.135259807582088</v>
      </c>
      <c r="AO76" t="s">
        <v>58</v>
      </c>
      <c r="AP76" t="b">
        <v>1</v>
      </c>
      <c r="AQ76">
        <v>3.749237715465628</v>
      </c>
      <c r="AR76">
        <v>325.82100000000003</v>
      </c>
      <c r="AS76">
        <v>65.12774688747632</v>
      </c>
      <c r="AT76">
        <v>4.5470841525022001</v>
      </c>
      <c r="AU76" s="5">
        <v>48.65042692494481</v>
      </c>
      <c r="AV76" s="5">
        <v>69.491305928937237</v>
      </c>
      <c r="AW76" s="5">
        <v>3.3966718619191436</v>
      </c>
      <c r="AX76" s="5">
        <v>4.851738790719847</v>
      </c>
      <c r="AY76" t="s">
        <v>59</v>
      </c>
      <c r="AZ76" t="s">
        <v>60</v>
      </c>
      <c r="BA76" s="23">
        <f t="shared" si="1"/>
        <v>0</v>
      </c>
      <c r="BB76" s="23">
        <f>IF(AND(ISNUMBER(H76),Metadata!$H$5&gt;Metadata!$G$5),MAX(Metadata!$G$5-H76,0,H76-Metadata!$H$5)/(Metadata!$H$5-Metadata!$G$5),"Missing input")</f>
        <v>0</v>
      </c>
      <c r="BC76" s="23">
        <f>IF(AND(ISNUMBER(L76),Metadata!$H$8&gt;Metadata!$G$8),MAX(Metadata!$G$8-L76,0,L76-Metadata!$H$8)/(Metadata!$H$8-Metadata!$G$8),"Missing input")</f>
        <v>0</v>
      </c>
    </row>
    <row r="77" spans="1:55" x14ac:dyDescent="0.2">
      <c r="A77" t="s">
        <v>143</v>
      </c>
      <c r="B77" t="s">
        <v>128</v>
      </c>
      <c r="C77" t="s">
        <v>84</v>
      </c>
      <c r="D77" t="s">
        <v>55</v>
      </c>
      <c r="E77" t="s">
        <v>56</v>
      </c>
      <c r="F77">
        <v>16</v>
      </c>
      <c r="G77">
        <v>31.1252119640606</v>
      </c>
      <c r="H77">
        <v>39.5069074866867</v>
      </c>
      <c r="I77">
        <v>1.57</v>
      </c>
      <c r="J77">
        <v>1.5</v>
      </c>
      <c r="K77">
        <v>0.4</v>
      </c>
      <c r="L77">
        <v>0.3</v>
      </c>
      <c r="M77">
        <v>8</v>
      </c>
      <c r="N77">
        <v>170</v>
      </c>
      <c r="Q77">
        <v>0.39423907809754261</v>
      </c>
      <c r="R77">
        <v>3642703.933702969</v>
      </c>
      <c r="S77">
        <v>-4.9337958473975154E-3</v>
      </c>
      <c r="T77">
        <v>1657.5346780090949</v>
      </c>
      <c r="U77">
        <v>803.27958977901494</v>
      </c>
      <c r="V77">
        <v>366.71121194891492</v>
      </c>
      <c r="W77">
        <v>2.190496400450709</v>
      </c>
      <c r="X77" t="s">
        <v>57</v>
      </c>
      <c r="Z77">
        <v>693.66200000000003</v>
      </c>
      <c r="AA77">
        <v>95.163399999999996</v>
      </c>
      <c r="AB77">
        <v>28.490600000000001</v>
      </c>
      <c r="AC77">
        <v>13.004492312404279</v>
      </c>
      <c r="AD77">
        <v>30.63524592047332</v>
      </c>
      <c r="AE77">
        <v>30.63524592047332</v>
      </c>
      <c r="AF77" t="s">
        <v>58</v>
      </c>
      <c r="AG77" t="b">
        <v>1</v>
      </c>
      <c r="AH77">
        <v>2.3557433219635961</v>
      </c>
      <c r="AI77">
        <v>699.529</v>
      </c>
      <c r="AJ77">
        <v>91.310100000000006</v>
      </c>
      <c r="AK77">
        <v>29.502800000000001</v>
      </c>
      <c r="AL77">
        <v>12.50481700102223</v>
      </c>
      <c r="AM77">
        <v>31.965021583128252</v>
      </c>
      <c r="AN77">
        <v>31.965021583128252</v>
      </c>
      <c r="AO77" t="s">
        <v>58</v>
      </c>
      <c r="AP77" t="b">
        <v>1</v>
      </c>
      <c r="AQ77">
        <v>2.556216662788044</v>
      </c>
      <c r="AR77">
        <v>699.529</v>
      </c>
      <c r="AS77">
        <v>31.965021583128252</v>
      </c>
      <c r="AT77">
        <v>2.556216662788044</v>
      </c>
      <c r="AU77" s="5">
        <v>23.877871122596805</v>
      </c>
      <c r="AV77" s="5">
        <v>34.106678029197845</v>
      </c>
      <c r="AW77" s="5">
        <v>1.909493847102669</v>
      </c>
      <c r="AX77" s="5">
        <v>2.7274831791948428</v>
      </c>
      <c r="AY77" t="s">
        <v>59</v>
      </c>
      <c r="AZ77" t="s">
        <v>60</v>
      </c>
      <c r="BA77" s="23">
        <f t="shared" si="1"/>
        <v>0</v>
      </c>
      <c r="BB77" s="23">
        <f>IF(AND(ISNUMBER(H77),Metadata!$H$5&gt;Metadata!$G$5),MAX(Metadata!$G$5-H77,0,H77-Metadata!$H$5)/(Metadata!$H$5-Metadata!$G$5),"Missing input")</f>
        <v>0</v>
      </c>
      <c r="BC77" s="23">
        <f>IF(AND(ISNUMBER(L77),Metadata!$H$8&gt;Metadata!$G$8),MAX(Metadata!$G$8-L77,0,L77-Metadata!$H$8)/(Metadata!$H$8-Metadata!$G$8),"Missing input")</f>
        <v>0</v>
      </c>
    </row>
    <row r="78" spans="1:55" x14ac:dyDescent="0.2">
      <c r="A78" t="s">
        <v>144</v>
      </c>
      <c r="B78" t="s">
        <v>128</v>
      </c>
      <c r="C78" t="s">
        <v>84</v>
      </c>
      <c r="D78" t="s">
        <v>55</v>
      </c>
      <c r="E78" t="s">
        <v>56</v>
      </c>
      <c r="F78">
        <v>17</v>
      </c>
      <c r="G78">
        <v>46.390186033042063</v>
      </c>
      <c r="H78">
        <v>16.21387510983789</v>
      </c>
      <c r="I78">
        <v>1.57</v>
      </c>
      <c r="J78">
        <v>1.5</v>
      </c>
      <c r="K78">
        <v>0.4</v>
      </c>
      <c r="L78">
        <v>0.3</v>
      </c>
      <c r="M78">
        <v>8</v>
      </c>
      <c r="N78">
        <v>170</v>
      </c>
      <c r="Q78">
        <v>0.39423907809754261</v>
      </c>
      <c r="R78">
        <v>2210215.3729856689</v>
      </c>
      <c r="S78">
        <v>-3.5810608128167688E-3</v>
      </c>
      <c r="T78">
        <v>992.19235058261199</v>
      </c>
      <c r="U78">
        <v>864.66061782660427</v>
      </c>
      <c r="V78">
        <v>219.5115819873036</v>
      </c>
      <c r="W78">
        <v>3.9390204835597959</v>
      </c>
      <c r="X78" t="s">
        <v>57</v>
      </c>
      <c r="Z78">
        <v>670.72199999999998</v>
      </c>
      <c r="AA78">
        <v>95.163399999999996</v>
      </c>
      <c r="AB78">
        <v>51.296399999999998</v>
      </c>
      <c r="AC78">
        <v>13.370892663043479</v>
      </c>
      <c r="AD78">
        <v>75.905794677093851</v>
      </c>
      <c r="AE78">
        <v>75.905794677093851</v>
      </c>
      <c r="AF78" t="s">
        <v>58</v>
      </c>
      <c r="AG78" t="b">
        <v>1</v>
      </c>
      <c r="AH78">
        <v>5.676942937915725</v>
      </c>
      <c r="AI78">
        <v>667.35699999999997</v>
      </c>
      <c r="AJ78">
        <v>91.310100000000006</v>
      </c>
      <c r="AK78">
        <v>51.757599999999996</v>
      </c>
      <c r="AL78">
        <v>12.979336995515689</v>
      </c>
      <c r="AM78">
        <v>75.442479565284131</v>
      </c>
      <c r="AN78">
        <v>75.442479565284131</v>
      </c>
      <c r="AO78" t="s">
        <v>58</v>
      </c>
      <c r="AP78" t="b">
        <v>1</v>
      </c>
      <c r="AQ78">
        <v>5.8125064162637274</v>
      </c>
      <c r="AR78">
        <v>670.72199999999998</v>
      </c>
      <c r="AS78">
        <v>75.905794677093851</v>
      </c>
      <c r="AT78">
        <v>5.8125064162637274</v>
      </c>
      <c r="AU78" s="5">
        <v>56.701628623789105</v>
      </c>
      <c r="AV78" s="5">
        <v>80.991482920459134</v>
      </c>
      <c r="AW78" s="5">
        <v>4.3419422929490041</v>
      </c>
      <c r="AX78" s="5">
        <v>6.2019443461533967</v>
      </c>
      <c r="AY78" t="s">
        <v>59</v>
      </c>
      <c r="AZ78" t="s">
        <v>60</v>
      </c>
      <c r="BA78" s="23">
        <f t="shared" si="1"/>
        <v>0</v>
      </c>
      <c r="BB78" s="23">
        <f>IF(AND(ISNUMBER(H78),Metadata!$H$5&gt;Metadata!$G$5),MAX(Metadata!$G$5-H78,0,H78-Metadata!$H$5)/(Metadata!$H$5-Metadata!$G$5),"Missing input")</f>
        <v>0</v>
      </c>
      <c r="BC78" s="23">
        <f>IF(AND(ISNUMBER(L78),Metadata!$H$8&gt;Metadata!$G$8),MAX(Metadata!$G$8-L78,0,L78-Metadata!$H$8)/(Metadata!$H$8-Metadata!$G$8),"Missing input")</f>
        <v>0</v>
      </c>
    </row>
    <row r="79" spans="1:55" x14ac:dyDescent="0.2">
      <c r="A79" t="s">
        <v>145</v>
      </c>
      <c r="B79" t="s">
        <v>128</v>
      </c>
      <c r="C79" t="s">
        <v>84</v>
      </c>
      <c r="D79" t="s">
        <v>55</v>
      </c>
      <c r="E79" t="s">
        <v>56</v>
      </c>
      <c r="F79">
        <v>18</v>
      </c>
      <c r="G79">
        <v>54.165408264435399</v>
      </c>
      <c r="H79">
        <v>18.25275816413232</v>
      </c>
      <c r="I79">
        <v>1.57</v>
      </c>
      <c r="J79">
        <v>1.5</v>
      </c>
      <c r="K79">
        <v>0.4</v>
      </c>
      <c r="L79">
        <v>0.3</v>
      </c>
      <c r="M79">
        <v>8</v>
      </c>
      <c r="N79">
        <v>170</v>
      </c>
      <c r="Q79">
        <v>0.39423907809754261</v>
      </c>
      <c r="R79">
        <v>2919725.6187367002</v>
      </c>
      <c r="S79">
        <v>-3.811372413027253E-3</v>
      </c>
      <c r="T79">
        <v>1250.244632367107</v>
      </c>
      <c r="U79">
        <v>891.99633628461595</v>
      </c>
      <c r="V79">
        <v>276.6027947714839</v>
      </c>
      <c r="W79">
        <v>3.224827634231032</v>
      </c>
      <c r="X79" t="s">
        <v>57</v>
      </c>
      <c r="Z79">
        <v>794.58500000000004</v>
      </c>
      <c r="AA79">
        <v>95.163399999999996</v>
      </c>
      <c r="AB79">
        <v>49.589399999999998</v>
      </c>
      <c r="AC79">
        <v>13.400620167486171</v>
      </c>
      <c r="AD79">
        <v>65.404330391160329</v>
      </c>
      <c r="AE79">
        <v>65.404330391160329</v>
      </c>
      <c r="AF79" t="s">
        <v>58</v>
      </c>
      <c r="AG79" t="b">
        <v>1</v>
      </c>
      <c r="AH79">
        <v>4.8806942942723186</v>
      </c>
      <c r="AI79">
        <v>791.73</v>
      </c>
      <c r="AJ79">
        <v>91.310100000000006</v>
      </c>
      <c r="AK79">
        <v>49.353000000000002</v>
      </c>
      <c r="AL79">
        <v>13.18406644530307</v>
      </c>
      <c r="AM79">
        <v>64.833443900308524</v>
      </c>
      <c r="AN79">
        <v>64.833443900308524</v>
      </c>
      <c r="AO79" t="s">
        <v>58</v>
      </c>
      <c r="AP79" t="b">
        <v>1</v>
      </c>
      <c r="AQ79">
        <v>4.9175604635553078</v>
      </c>
      <c r="AR79">
        <v>794.58500000000004</v>
      </c>
      <c r="AS79">
        <v>65.404330391160329</v>
      </c>
      <c r="AT79">
        <v>4.9175604635553078</v>
      </c>
      <c r="AU79" s="5">
        <v>48.857034802196765</v>
      </c>
      <c r="AV79" s="5">
        <v>69.786420527368065</v>
      </c>
      <c r="AW79" s="5">
        <v>3.6734176662758151</v>
      </c>
      <c r="AX79" s="5">
        <v>5.2470370146135128</v>
      </c>
      <c r="AY79" t="s">
        <v>59</v>
      </c>
      <c r="AZ79" t="s">
        <v>60</v>
      </c>
      <c r="BA79" s="23">
        <f t="shared" si="1"/>
        <v>0</v>
      </c>
      <c r="BB79" s="23">
        <f>IF(AND(ISNUMBER(H79),Metadata!$H$5&gt;Metadata!$G$5),MAX(Metadata!$G$5-H79,0,H79-Metadata!$H$5)/(Metadata!$H$5-Metadata!$G$5),"Missing input")</f>
        <v>0</v>
      </c>
      <c r="BC79" s="23">
        <f>IF(AND(ISNUMBER(L79),Metadata!$H$8&gt;Metadata!$G$8),MAX(Metadata!$G$8-L79,0,L79-Metadata!$H$8)/(Metadata!$H$8-Metadata!$G$8),"Missing input")</f>
        <v>0</v>
      </c>
    </row>
    <row r="80" spans="1:55" x14ac:dyDescent="0.2">
      <c r="A80" t="s">
        <v>146</v>
      </c>
      <c r="B80" t="s">
        <v>128</v>
      </c>
      <c r="C80" t="s">
        <v>84</v>
      </c>
      <c r="D80" t="s">
        <v>55</v>
      </c>
      <c r="E80" t="s">
        <v>56</v>
      </c>
      <c r="F80">
        <v>19</v>
      </c>
      <c r="G80">
        <v>21.707483118551171</v>
      </c>
      <c r="H80">
        <v>43.497365085878002</v>
      </c>
      <c r="I80">
        <v>1.57</v>
      </c>
      <c r="J80">
        <v>1.5</v>
      </c>
      <c r="K80">
        <v>0.4</v>
      </c>
      <c r="L80">
        <v>0.3</v>
      </c>
      <c r="M80">
        <v>8</v>
      </c>
      <c r="N80">
        <v>170</v>
      </c>
      <c r="Q80">
        <v>0.39423907809754261</v>
      </c>
      <c r="R80">
        <v>2786376.2799094608</v>
      </c>
      <c r="S80">
        <v>-4.8981690042756649E-3</v>
      </c>
      <c r="T80">
        <v>1327.844178866673</v>
      </c>
      <c r="U80">
        <v>757.45103163832232</v>
      </c>
      <c r="V80">
        <v>293.77083603244972</v>
      </c>
      <c r="W80">
        <v>2.5783738163670371</v>
      </c>
      <c r="X80" t="s">
        <v>57</v>
      </c>
      <c r="Z80">
        <v>545.56500000000005</v>
      </c>
      <c r="AA80">
        <v>95.163399999999996</v>
      </c>
      <c r="AB80">
        <v>25.7987</v>
      </c>
      <c r="AC80">
        <v>12.723426773648651</v>
      </c>
      <c r="AD80">
        <v>27.306074784407318</v>
      </c>
      <c r="AE80">
        <v>27.306074784407318</v>
      </c>
      <c r="AF80" t="s">
        <v>58</v>
      </c>
      <c r="AG80" t="b">
        <v>1</v>
      </c>
      <c r="AH80">
        <v>2.1461258252344901</v>
      </c>
      <c r="AI80">
        <v>553.57399999999996</v>
      </c>
      <c r="AJ80">
        <v>91.310100000000006</v>
      </c>
      <c r="AK80">
        <v>28.002400000000002</v>
      </c>
      <c r="AL80">
        <v>12.2433960872354</v>
      </c>
      <c r="AM80">
        <v>30.089162818494831</v>
      </c>
      <c r="AN80">
        <v>30.089162818494831</v>
      </c>
      <c r="AO80" t="s">
        <v>58</v>
      </c>
      <c r="AP80" t="b">
        <v>1</v>
      </c>
      <c r="AQ80">
        <v>2.45758305980682</v>
      </c>
      <c r="AR80">
        <v>553.57399999999996</v>
      </c>
      <c r="AS80">
        <v>30.089162818494831</v>
      </c>
      <c r="AT80">
        <v>2.45758305980682</v>
      </c>
      <c r="AU80" s="5">
        <v>22.476604625415639</v>
      </c>
      <c r="AV80" s="5">
        <v>32.105136727333985</v>
      </c>
      <c r="AW80" s="5">
        <v>1.8358145456756945</v>
      </c>
      <c r="AX80" s="5">
        <v>2.6222411248138768</v>
      </c>
      <c r="AY80" t="s">
        <v>64</v>
      </c>
      <c r="AZ80" t="s">
        <v>7</v>
      </c>
      <c r="BA80" s="23">
        <f t="shared" si="1"/>
        <v>9.4596678167087334E-2</v>
      </c>
      <c r="BB80" s="23">
        <f>IF(AND(ISNUMBER(H80),Metadata!$H$5&gt;Metadata!$G$5),MAX(Metadata!$G$5-H80,0,H80-Metadata!$H$5)/(Metadata!$H$5-Metadata!$G$5),"Missing input")</f>
        <v>9.4596678167087334E-2</v>
      </c>
      <c r="BC80" s="23">
        <f>IF(AND(ISNUMBER(L80),Metadata!$H$8&gt;Metadata!$G$8),MAX(Metadata!$G$8-L80,0,L80-Metadata!$H$8)/(Metadata!$H$8-Metadata!$G$8),"Missing input")</f>
        <v>0</v>
      </c>
    </row>
    <row r="81" spans="1:55" x14ac:dyDescent="0.2">
      <c r="A81" t="s">
        <v>147</v>
      </c>
      <c r="B81" t="s">
        <v>128</v>
      </c>
      <c r="C81" t="s">
        <v>84</v>
      </c>
      <c r="D81" t="s">
        <v>55</v>
      </c>
      <c r="E81" t="s">
        <v>56</v>
      </c>
      <c r="F81">
        <v>20</v>
      </c>
      <c r="G81">
        <v>53.035991243371583</v>
      </c>
      <c r="H81">
        <v>30.34654288470276</v>
      </c>
      <c r="I81">
        <v>1.57</v>
      </c>
      <c r="J81">
        <v>1.5</v>
      </c>
      <c r="K81">
        <v>0.4</v>
      </c>
      <c r="L81">
        <v>0.3</v>
      </c>
      <c r="M81">
        <v>8</v>
      </c>
      <c r="N81">
        <v>170</v>
      </c>
      <c r="Q81">
        <v>0.39423907809754261</v>
      </c>
      <c r="R81">
        <v>4782098.2730990862</v>
      </c>
      <c r="S81">
        <v>-4.7497294429049474E-3</v>
      </c>
      <c r="T81">
        <v>2064.392118408005</v>
      </c>
      <c r="U81">
        <v>888.1534668604578</v>
      </c>
      <c r="V81">
        <v>456.72392000177121</v>
      </c>
      <c r="W81">
        <v>1.944617805121776</v>
      </c>
      <c r="X81" t="s">
        <v>57</v>
      </c>
      <c r="Z81">
        <v>983.40599999999995</v>
      </c>
      <c r="AA81">
        <v>95.163399999999996</v>
      </c>
      <c r="AB81">
        <v>35.7943</v>
      </c>
      <c r="AC81">
        <v>14.161088255758161</v>
      </c>
      <c r="AD81">
        <v>39.025577564660097</v>
      </c>
      <c r="AE81">
        <v>39.025577564660097</v>
      </c>
      <c r="AF81" t="s">
        <v>58</v>
      </c>
      <c r="AG81" t="b">
        <v>1</v>
      </c>
      <c r="AH81">
        <v>2.7558318160182069</v>
      </c>
      <c r="AI81">
        <v>979.98099999999999</v>
      </c>
      <c r="AJ81">
        <v>91.310100000000006</v>
      </c>
      <c r="AK81">
        <v>35.435099999999998</v>
      </c>
      <c r="AL81">
        <v>13.670096549019609</v>
      </c>
      <c r="AM81">
        <v>39.433524665099803</v>
      </c>
      <c r="AN81">
        <v>39.433524665099803</v>
      </c>
      <c r="AO81" t="s">
        <v>58</v>
      </c>
      <c r="AP81" t="b">
        <v>1</v>
      </c>
      <c r="AQ81">
        <v>2.884655900102469</v>
      </c>
      <c r="AR81">
        <v>983.40599999999995</v>
      </c>
      <c r="AS81">
        <v>39.433524665099803</v>
      </c>
      <c r="AT81">
        <v>2.884655900102469</v>
      </c>
      <c r="AU81" s="5">
        <v>29.456842924829552</v>
      </c>
      <c r="AV81" s="5">
        <v>42.075570817661486</v>
      </c>
      <c r="AW81" s="5">
        <v>2.1548379573765444</v>
      </c>
      <c r="AX81" s="5">
        <v>3.0779278454093344</v>
      </c>
      <c r="AY81" t="s">
        <v>59</v>
      </c>
      <c r="AZ81" t="s">
        <v>60</v>
      </c>
      <c r="BA81" s="23">
        <f t="shared" si="1"/>
        <v>0</v>
      </c>
      <c r="BB81" s="23">
        <f>IF(AND(ISNUMBER(H81),Metadata!$H$5&gt;Metadata!$G$5),MAX(Metadata!$G$5-H81,0,H81-Metadata!$H$5)/(Metadata!$H$5-Metadata!$G$5),"Missing input")</f>
        <v>0</v>
      </c>
      <c r="BC81" s="23">
        <f>IF(AND(ISNUMBER(L81),Metadata!$H$8&gt;Metadata!$G$8),MAX(Metadata!$G$8-L81,0,L81-Metadata!$H$8)/(Metadata!$H$8-Metadata!$G$8),"Missing input")</f>
        <v>0</v>
      </c>
    </row>
    <row r="82" spans="1:55" x14ac:dyDescent="0.2">
      <c r="A82" t="s">
        <v>148</v>
      </c>
      <c r="B82" t="s">
        <v>149</v>
      </c>
      <c r="C82" t="s">
        <v>84</v>
      </c>
      <c r="D82" t="s">
        <v>55</v>
      </c>
      <c r="E82" t="s">
        <v>56</v>
      </c>
      <c r="F82">
        <v>1</v>
      </c>
      <c r="G82">
        <v>22.11413992487228</v>
      </c>
      <c r="H82">
        <v>28.832065765515338</v>
      </c>
      <c r="I82">
        <v>1.57</v>
      </c>
      <c r="J82">
        <v>1.5</v>
      </c>
      <c r="K82">
        <v>0.78</v>
      </c>
      <c r="L82">
        <v>0.4</v>
      </c>
      <c r="M82">
        <v>10</v>
      </c>
      <c r="N82">
        <v>135</v>
      </c>
      <c r="Q82">
        <v>0.77570188977525756</v>
      </c>
      <c r="R82">
        <v>1866510.334985178</v>
      </c>
      <c r="S82">
        <v>-5.6967949854265336E-3</v>
      </c>
      <c r="T82">
        <v>931.93139645531812</v>
      </c>
      <c r="U82">
        <v>934.72503252833155</v>
      </c>
      <c r="V82">
        <v>206.1795124901146</v>
      </c>
      <c r="W82">
        <v>4.533549532828328</v>
      </c>
      <c r="X82" t="s">
        <v>57</v>
      </c>
      <c r="Z82">
        <v>542.61900000000003</v>
      </c>
      <c r="AA82">
        <v>95.163399999999996</v>
      </c>
      <c r="AB82">
        <v>37.809100000000001</v>
      </c>
      <c r="AC82">
        <v>15.92028679856115</v>
      </c>
      <c r="AD82">
        <v>48.724552607449858</v>
      </c>
      <c r="AE82">
        <v>48.724552607449858</v>
      </c>
      <c r="AF82" t="s">
        <v>58</v>
      </c>
      <c r="AG82" t="b">
        <v>1</v>
      </c>
      <c r="AH82">
        <v>3.0605323398981419</v>
      </c>
      <c r="AI82">
        <v>542.875</v>
      </c>
      <c r="AJ82">
        <v>91.310100000000006</v>
      </c>
      <c r="AK82">
        <v>39.358900000000013</v>
      </c>
      <c r="AL82">
        <v>15.677761603334631</v>
      </c>
      <c r="AM82">
        <v>49.184606950891762</v>
      </c>
      <c r="AN82">
        <v>49.184606950891762</v>
      </c>
      <c r="AO82" t="s">
        <v>58</v>
      </c>
      <c r="AP82" t="b">
        <v>1</v>
      </c>
      <c r="AQ82">
        <v>3.1372212561537038</v>
      </c>
      <c r="AR82">
        <v>542.875</v>
      </c>
      <c r="AS82">
        <v>49.184606950891762</v>
      </c>
      <c r="AT82">
        <v>3.1372212561537038</v>
      </c>
      <c r="AU82" s="5">
        <v>36.740901392316147</v>
      </c>
      <c r="AV82" s="5">
        <v>52.479975616601507</v>
      </c>
      <c r="AW82" s="5">
        <v>2.343504278346817</v>
      </c>
      <c r="AX82" s="5">
        <v>3.3474150803160017</v>
      </c>
      <c r="AY82" t="s">
        <v>59</v>
      </c>
      <c r="AZ82" t="s">
        <v>60</v>
      </c>
      <c r="BA82" s="23">
        <f t="shared" si="1"/>
        <v>0</v>
      </c>
      <c r="BB82" s="23">
        <f>IF(AND(ISNUMBER(H82),Metadata!$H$5&gt;Metadata!$G$5),MAX(Metadata!$G$5-H82,0,H82-Metadata!$H$5)/(Metadata!$H$5-Metadata!$G$5),"Missing input")</f>
        <v>0</v>
      </c>
      <c r="BC82" s="23">
        <f>IF(AND(ISNUMBER(L82),Metadata!$H$8&gt;Metadata!$G$8),MAX(Metadata!$G$8-L82,0,L82-Metadata!$H$8)/(Metadata!$H$8-Metadata!$G$8),"Missing input")</f>
        <v>0</v>
      </c>
    </row>
    <row r="83" spans="1:55" x14ac:dyDescent="0.2">
      <c r="A83" t="s">
        <v>150</v>
      </c>
      <c r="B83" t="s">
        <v>149</v>
      </c>
      <c r="C83" t="s">
        <v>84</v>
      </c>
      <c r="D83" t="s">
        <v>55</v>
      </c>
      <c r="E83" t="s">
        <v>56</v>
      </c>
      <c r="F83">
        <v>2</v>
      </c>
      <c r="G83">
        <v>39.289372610104301</v>
      </c>
      <c r="H83">
        <v>11.43599740060767</v>
      </c>
      <c r="I83">
        <v>1.57</v>
      </c>
      <c r="J83">
        <v>1.5</v>
      </c>
      <c r="K83">
        <v>0.78</v>
      </c>
      <c r="L83">
        <v>0.4</v>
      </c>
      <c r="M83">
        <v>10</v>
      </c>
      <c r="N83">
        <v>135</v>
      </c>
      <c r="Q83">
        <v>0.77570188977525756</v>
      </c>
      <c r="R83">
        <v>1301660.814121977</v>
      </c>
      <c r="S83">
        <v>-3.490166023964611E-3</v>
      </c>
      <c r="T83">
        <v>682.24591859950192</v>
      </c>
      <c r="U83">
        <v>1012.722257086322</v>
      </c>
      <c r="V83">
        <v>150.93936252201371</v>
      </c>
      <c r="W83">
        <v>6.7094642521669714</v>
      </c>
      <c r="X83" t="s">
        <v>57</v>
      </c>
      <c r="Z83">
        <v>550.18700000000001</v>
      </c>
      <c r="AA83">
        <v>95.163399999999996</v>
      </c>
      <c r="AB83">
        <v>63.280900000000003</v>
      </c>
      <c r="AC83">
        <v>15.12738009812287</v>
      </c>
      <c r="AE83">
        <v>95.163399999999996</v>
      </c>
      <c r="AF83" t="s">
        <v>62</v>
      </c>
      <c r="AG83" t="b">
        <v>0</v>
      </c>
      <c r="AH83">
        <v>6.2908051085335419</v>
      </c>
      <c r="AI83">
        <v>547.23400000000004</v>
      </c>
      <c r="AJ83">
        <v>91.310100000000006</v>
      </c>
      <c r="AK83">
        <v>62.662199999999999</v>
      </c>
      <c r="AL83">
        <v>14.699929052915399</v>
      </c>
      <c r="AN83">
        <v>91.310100000000006</v>
      </c>
      <c r="AO83" t="s">
        <v>62</v>
      </c>
      <c r="AP83" t="b">
        <v>0</v>
      </c>
      <c r="AQ83">
        <v>6.2116014078238484</v>
      </c>
      <c r="AR83">
        <v>550.18700000000001</v>
      </c>
      <c r="AS83">
        <v>95.163399999999996</v>
      </c>
      <c r="AT83">
        <v>6.2908051085335419</v>
      </c>
      <c r="AU83" s="5">
        <v>71.087059799999992</v>
      </c>
      <c r="AV83" s="5">
        <v>101.53934779999999</v>
      </c>
      <c r="AW83" s="5">
        <v>4.6992314160745554</v>
      </c>
      <c r="AX83" s="5">
        <v>6.712289050805289</v>
      </c>
      <c r="AY83" t="s">
        <v>59</v>
      </c>
      <c r="AZ83" t="s">
        <v>60</v>
      </c>
      <c r="BA83" s="23">
        <f t="shared" si="1"/>
        <v>0</v>
      </c>
      <c r="BB83" s="23">
        <f>IF(AND(ISNUMBER(H83),Metadata!$H$5&gt;Metadata!$G$5),MAX(Metadata!$G$5-H83,0,H83-Metadata!$H$5)/(Metadata!$H$5-Metadata!$G$5),"Missing input")</f>
        <v>0</v>
      </c>
      <c r="BC83" s="23">
        <f>IF(AND(ISNUMBER(L83),Metadata!$H$8&gt;Metadata!$G$8),MAX(Metadata!$G$8-L83,0,L83-Metadata!$H$8)/(Metadata!$H$8-Metadata!$G$8),"Missing input")</f>
        <v>0</v>
      </c>
    </row>
    <row r="84" spans="1:55" x14ac:dyDescent="0.2">
      <c r="A84" t="s">
        <v>151</v>
      </c>
      <c r="B84" t="s">
        <v>149</v>
      </c>
      <c r="C84" t="s">
        <v>84</v>
      </c>
      <c r="D84" t="s">
        <v>55</v>
      </c>
      <c r="E84" t="s">
        <v>56</v>
      </c>
      <c r="F84">
        <v>3</v>
      </c>
      <c r="G84">
        <v>50.720967279676117</v>
      </c>
      <c r="H84">
        <v>41.572102032205443</v>
      </c>
      <c r="I84">
        <v>1.57</v>
      </c>
      <c r="J84">
        <v>1.5</v>
      </c>
      <c r="K84">
        <v>0.78</v>
      </c>
      <c r="L84">
        <v>0.4</v>
      </c>
      <c r="M84">
        <v>10</v>
      </c>
      <c r="N84">
        <v>135</v>
      </c>
      <c r="Q84">
        <v>0.77570188977525756</v>
      </c>
      <c r="R84">
        <v>6279453.0057685468</v>
      </c>
      <c r="S84">
        <v>-6.1249976099775972E-3</v>
      </c>
      <c r="T84">
        <v>2795.5189136654449</v>
      </c>
      <c r="U84">
        <v>1055.2563423155771</v>
      </c>
      <c r="V84">
        <v>618.47763576669149</v>
      </c>
      <c r="W84">
        <v>1.7062158456343139</v>
      </c>
      <c r="X84" t="s">
        <v>57</v>
      </c>
      <c r="Z84">
        <v>982.15499999999997</v>
      </c>
      <c r="AA84">
        <v>95.163399999999996</v>
      </c>
      <c r="AB84">
        <v>25.7987</v>
      </c>
      <c r="AC84">
        <v>13.22315646078243</v>
      </c>
      <c r="AD84">
        <v>33.396001847106461</v>
      </c>
      <c r="AE84">
        <v>33.396001847106461</v>
      </c>
      <c r="AF84" t="s">
        <v>58</v>
      </c>
      <c r="AG84" t="b">
        <v>1</v>
      </c>
      <c r="AH84">
        <v>2.5255695904493889</v>
      </c>
      <c r="AI84">
        <v>1033.24</v>
      </c>
      <c r="AJ84">
        <v>91.310100000000006</v>
      </c>
      <c r="AK84">
        <v>32.074900000000007</v>
      </c>
      <c r="AL84">
        <v>13.649962073966639</v>
      </c>
      <c r="AM84">
        <v>32.291321723821817</v>
      </c>
      <c r="AN84">
        <v>32.291321723821817</v>
      </c>
      <c r="AO84" t="s">
        <v>58</v>
      </c>
      <c r="AP84" t="b">
        <v>1</v>
      </c>
      <c r="AQ84">
        <v>2.365671168083916</v>
      </c>
      <c r="AR84">
        <v>1033.24</v>
      </c>
      <c r="AS84">
        <v>33.396001847106461</v>
      </c>
      <c r="AT84">
        <v>2.5255695904493889</v>
      </c>
      <c r="AU84" s="5">
        <v>24.946813379788527</v>
      </c>
      <c r="AV84" s="5">
        <v>35.633533970862594</v>
      </c>
      <c r="AW84" s="5">
        <v>1.8866004840656936</v>
      </c>
      <c r="AX84" s="5">
        <v>2.6947827530094979</v>
      </c>
      <c r="AY84" t="s">
        <v>64</v>
      </c>
      <c r="AZ84" t="s">
        <v>7</v>
      </c>
      <c r="BA84" s="23">
        <f t="shared" si="1"/>
        <v>4.6063612035701466E-2</v>
      </c>
      <c r="BB84" s="23">
        <f>IF(AND(ISNUMBER(H84),Metadata!$H$5&gt;Metadata!$G$5),MAX(Metadata!$G$5-H84,0,H84-Metadata!$H$5)/(Metadata!$H$5-Metadata!$G$5),"Missing input")</f>
        <v>4.6063612035701466E-2</v>
      </c>
      <c r="BC84" s="23">
        <f>IF(AND(ISNUMBER(L84),Metadata!$H$8&gt;Metadata!$G$8),MAX(Metadata!$G$8-L84,0,L84-Metadata!$H$8)/(Metadata!$H$8-Metadata!$G$8),"Missing input")</f>
        <v>0</v>
      </c>
    </row>
    <row r="85" spans="1:55" x14ac:dyDescent="0.2">
      <c r="A85" t="s">
        <v>152</v>
      </c>
      <c r="B85" t="s">
        <v>149</v>
      </c>
      <c r="C85" t="s">
        <v>84</v>
      </c>
      <c r="D85" t="s">
        <v>55</v>
      </c>
      <c r="E85" t="s">
        <v>56</v>
      </c>
      <c r="F85">
        <v>4</v>
      </c>
      <c r="G85">
        <v>40.065365059576777</v>
      </c>
      <c r="H85">
        <v>25.23064360495534</v>
      </c>
      <c r="I85">
        <v>1.57</v>
      </c>
      <c r="J85">
        <v>1.5</v>
      </c>
      <c r="K85">
        <v>0.78</v>
      </c>
      <c r="L85">
        <v>0.4</v>
      </c>
      <c r="M85">
        <v>10</v>
      </c>
      <c r="N85">
        <v>135</v>
      </c>
      <c r="Q85">
        <v>0.77570188977525756</v>
      </c>
      <c r="R85">
        <v>2986346.165161836</v>
      </c>
      <c r="S85">
        <v>-5.3812720967087073E-3</v>
      </c>
      <c r="T85">
        <v>1323.2635029237761</v>
      </c>
      <c r="U85">
        <v>1015.791079502222</v>
      </c>
      <c r="V85">
        <v>292.75741215127789</v>
      </c>
      <c r="W85">
        <v>3.4697365031267831</v>
      </c>
      <c r="X85" t="s">
        <v>57</v>
      </c>
      <c r="Z85">
        <v>770.22199999999998</v>
      </c>
      <c r="AA85">
        <v>95.163399999999996</v>
      </c>
      <c r="AB85">
        <v>44.611400000000003</v>
      </c>
      <c r="AC85">
        <v>15.41225630709768</v>
      </c>
      <c r="AD85">
        <v>53.332040873852243</v>
      </c>
      <c r="AE85">
        <v>53.332040873852243</v>
      </c>
      <c r="AF85" t="s">
        <v>58</v>
      </c>
      <c r="AG85" t="b">
        <v>1</v>
      </c>
      <c r="AH85">
        <v>3.4603655565533038</v>
      </c>
      <c r="AI85">
        <v>764.82299999999998</v>
      </c>
      <c r="AJ85">
        <v>91.310100000000006</v>
      </c>
      <c r="AK85">
        <v>44.200299999999999</v>
      </c>
      <c r="AL85">
        <v>14.97082719772404</v>
      </c>
      <c r="AM85">
        <v>52.432841027569808</v>
      </c>
      <c r="AN85">
        <v>52.432841027569808</v>
      </c>
      <c r="AO85" t="s">
        <v>58</v>
      </c>
      <c r="AP85" t="b">
        <v>1</v>
      </c>
      <c r="AQ85">
        <v>3.502334262166956</v>
      </c>
      <c r="AR85">
        <v>770.22199999999998</v>
      </c>
      <c r="AS85">
        <v>53.332040873852243</v>
      </c>
      <c r="AT85">
        <v>3.502334262166956</v>
      </c>
      <c r="AU85" s="5">
        <v>39.839034532767627</v>
      </c>
      <c r="AV85" s="5">
        <v>56.905287612400343</v>
      </c>
      <c r="AW85" s="5">
        <v>2.6162436938387161</v>
      </c>
      <c r="AX85" s="5">
        <v>3.7369906577321417</v>
      </c>
      <c r="AY85" t="s">
        <v>59</v>
      </c>
      <c r="AZ85" t="s">
        <v>60</v>
      </c>
      <c r="BA85" s="23">
        <f t="shared" si="1"/>
        <v>0</v>
      </c>
      <c r="BB85" s="23">
        <f>IF(AND(ISNUMBER(H85),Metadata!$H$5&gt;Metadata!$G$5),MAX(Metadata!$G$5-H85,0,H85-Metadata!$H$5)/(Metadata!$H$5-Metadata!$G$5),"Missing input")</f>
        <v>0</v>
      </c>
      <c r="BC85" s="23">
        <f>IF(AND(ISNUMBER(L85),Metadata!$H$8&gt;Metadata!$G$8),MAX(Metadata!$G$8-L85,0,L85-Metadata!$H$8)/(Metadata!$H$8-Metadata!$G$8),"Missing input")</f>
        <v>0</v>
      </c>
    </row>
    <row r="86" spans="1:55" x14ac:dyDescent="0.2">
      <c r="A86" t="s">
        <v>153</v>
      </c>
      <c r="B86" t="s">
        <v>149</v>
      </c>
      <c r="C86" t="s">
        <v>84</v>
      </c>
      <c r="D86" t="s">
        <v>55</v>
      </c>
      <c r="E86" t="s">
        <v>56</v>
      </c>
      <c r="F86">
        <v>5</v>
      </c>
      <c r="G86">
        <v>44.691650234033148</v>
      </c>
      <c r="H86">
        <v>35.278860063057749</v>
      </c>
      <c r="I86">
        <v>1.57</v>
      </c>
      <c r="J86">
        <v>1.5</v>
      </c>
      <c r="K86">
        <v>0.78</v>
      </c>
      <c r="L86">
        <v>0.4</v>
      </c>
      <c r="M86">
        <v>10</v>
      </c>
      <c r="N86">
        <v>135</v>
      </c>
      <c r="Q86">
        <v>0.77570188977525756</v>
      </c>
      <c r="R86">
        <v>4683732.748780732</v>
      </c>
      <c r="S86">
        <v>-6.0373973153616959E-3</v>
      </c>
      <c r="T86">
        <v>2061.9786008310161</v>
      </c>
      <c r="U86">
        <v>1033.500403813099</v>
      </c>
      <c r="V86">
        <v>456.18995593606547</v>
      </c>
      <c r="W86">
        <v>2.2655045126814288</v>
      </c>
      <c r="X86" t="s">
        <v>57</v>
      </c>
      <c r="Z86">
        <v>915.02200000000005</v>
      </c>
      <c r="AA86">
        <v>95.163399999999996</v>
      </c>
      <c r="AB86">
        <v>35.7943</v>
      </c>
      <c r="AC86">
        <v>14.860556154891309</v>
      </c>
      <c r="AD86">
        <v>38.169167554917699</v>
      </c>
      <c r="AE86">
        <v>38.169167554917699</v>
      </c>
      <c r="AF86" t="s">
        <v>58</v>
      </c>
      <c r="AG86" t="b">
        <v>1</v>
      </c>
      <c r="AH86">
        <v>2.5684884978113312</v>
      </c>
      <c r="AI86">
        <v>910.75099999999998</v>
      </c>
      <c r="AJ86">
        <v>91.310100000000006</v>
      </c>
      <c r="AK86">
        <v>35.1736</v>
      </c>
      <c r="AL86">
        <v>14.17601444395215</v>
      </c>
      <c r="AM86">
        <v>38.963609517430108</v>
      </c>
      <c r="AN86">
        <v>38.963609517430108</v>
      </c>
      <c r="AO86" t="s">
        <v>58</v>
      </c>
      <c r="AP86" t="b">
        <v>1</v>
      </c>
      <c r="AQ86">
        <v>2.7485588189459689</v>
      </c>
      <c r="AR86">
        <v>915.02200000000005</v>
      </c>
      <c r="AS86">
        <v>38.963609517430108</v>
      </c>
      <c r="AT86">
        <v>2.7485588189459689</v>
      </c>
      <c r="AU86" s="5">
        <v>29.105816309520289</v>
      </c>
      <c r="AV86" s="5">
        <v>41.574171355097924</v>
      </c>
      <c r="AW86" s="5">
        <v>2.0531734377526387</v>
      </c>
      <c r="AX86" s="5">
        <v>2.9327122598153488</v>
      </c>
      <c r="AY86" t="s">
        <v>59</v>
      </c>
      <c r="AZ86" t="s">
        <v>60</v>
      </c>
      <c r="BA86" s="23">
        <f t="shared" si="1"/>
        <v>0</v>
      </c>
      <c r="BB86" s="23">
        <f>IF(AND(ISNUMBER(H86),Metadata!$H$5&gt;Metadata!$G$5),MAX(Metadata!$G$5-H86,0,H86-Metadata!$H$5)/(Metadata!$H$5-Metadata!$G$5),"Missing input")</f>
        <v>0</v>
      </c>
      <c r="BC86" s="23">
        <f>IF(AND(ISNUMBER(L86),Metadata!$H$8&gt;Metadata!$G$8),MAX(Metadata!$G$8-L86,0,L86-Metadata!$H$8)/(Metadata!$H$8-Metadata!$G$8),"Missing input")</f>
        <v>0</v>
      </c>
    </row>
    <row r="87" spans="1:55" x14ac:dyDescent="0.2">
      <c r="A87" t="s">
        <v>154</v>
      </c>
      <c r="B87" t="s">
        <v>149</v>
      </c>
      <c r="C87" t="s">
        <v>84</v>
      </c>
      <c r="D87" t="s">
        <v>55</v>
      </c>
      <c r="E87" t="s">
        <v>56</v>
      </c>
      <c r="F87">
        <v>6</v>
      </c>
      <c r="G87">
        <v>33.086500490231572</v>
      </c>
      <c r="H87">
        <v>19.79580616436397</v>
      </c>
      <c r="I87">
        <v>1.57</v>
      </c>
      <c r="J87">
        <v>1.5</v>
      </c>
      <c r="K87">
        <v>0.78</v>
      </c>
      <c r="L87">
        <v>0.4</v>
      </c>
      <c r="M87">
        <v>10</v>
      </c>
      <c r="N87">
        <v>135</v>
      </c>
      <c r="Q87">
        <v>0.77570188977525756</v>
      </c>
      <c r="R87">
        <v>1918643.176085273</v>
      </c>
      <c r="S87">
        <v>-4.7383095008870849E-3</v>
      </c>
      <c r="T87">
        <v>915.0391797947683</v>
      </c>
      <c r="U87">
        <v>987.01289706327861</v>
      </c>
      <c r="V87">
        <v>202.44229641477179</v>
      </c>
      <c r="W87">
        <v>4.8755270738534184</v>
      </c>
      <c r="X87" t="s">
        <v>57</v>
      </c>
      <c r="Z87">
        <v>614.01099999999997</v>
      </c>
      <c r="AA87">
        <v>95.317700000000002</v>
      </c>
      <c r="AB87">
        <v>50.947899999999997</v>
      </c>
      <c r="AC87">
        <v>15.30176345990666</v>
      </c>
      <c r="AD87">
        <v>65.393445004201723</v>
      </c>
      <c r="AE87">
        <v>65.393445004201723</v>
      </c>
      <c r="AF87" t="s">
        <v>58</v>
      </c>
      <c r="AG87" t="b">
        <v>1</v>
      </c>
      <c r="AH87">
        <v>4.2735888040319132</v>
      </c>
      <c r="AI87">
        <v>612.28700000000003</v>
      </c>
      <c r="AJ87">
        <v>91.155799999999999</v>
      </c>
      <c r="AK87">
        <v>39.358900000000013</v>
      </c>
      <c r="AL87">
        <v>14.96890878717007</v>
      </c>
      <c r="AM87">
        <v>39.538067951653943</v>
      </c>
      <c r="AN87">
        <v>39.538067951653943</v>
      </c>
      <c r="AO87" t="s">
        <v>58</v>
      </c>
      <c r="AP87" t="b">
        <v>1</v>
      </c>
      <c r="AQ87">
        <v>2.6413460402365621</v>
      </c>
      <c r="AR87">
        <v>614.01099999999997</v>
      </c>
      <c r="AS87">
        <v>65.393445004201723</v>
      </c>
      <c r="AT87">
        <v>4.2735888040319132</v>
      </c>
      <c r="AU87" s="5">
        <v>48.84890341813869</v>
      </c>
      <c r="AV87" s="5">
        <v>69.774805819483234</v>
      </c>
      <c r="AW87" s="5">
        <v>3.1923708366118393</v>
      </c>
      <c r="AX87" s="5">
        <v>4.5599192539020512</v>
      </c>
      <c r="AY87" t="s">
        <v>59</v>
      </c>
      <c r="AZ87" t="s">
        <v>60</v>
      </c>
      <c r="BA87" s="23">
        <f t="shared" si="1"/>
        <v>0</v>
      </c>
      <c r="BB87" s="23">
        <f>IF(AND(ISNUMBER(H87),Metadata!$H$5&gt;Metadata!$G$5),MAX(Metadata!$G$5-H87,0,H87-Metadata!$H$5)/(Metadata!$H$5-Metadata!$G$5),"Missing input")</f>
        <v>0</v>
      </c>
      <c r="BC87" s="23">
        <f>IF(AND(ISNUMBER(L87),Metadata!$H$8&gt;Metadata!$G$8),MAX(Metadata!$G$8-L87,0,L87-Metadata!$H$8)/(Metadata!$H$8-Metadata!$G$8),"Missing input")</f>
        <v>0</v>
      </c>
    </row>
    <row r="88" spans="1:55" x14ac:dyDescent="0.2">
      <c r="A88" t="s">
        <v>155</v>
      </c>
      <c r="B88" t="s">
        <v>149</v>
      </c>
      <c r="C88" t="s">
        <v>84</v>
      </c>
      <c r="D88" t="s">
        <v>55</v>
      </c>
      <c r="E88" t="s">
        <v>56</v>
      </c>
      <c r="F88">
        <v>7</v>
      </c>
      <c r="G88">
        <v>42.943727860216583</v>
      </c>
      <c r="H88">
        <v>31.604415760045629</v>
      </c>
      <c r="I88">
        <v>1.57</v>
      </c>
      <c r="J88">
        <v>1.5</v>
      </c>
      <c r="K88">
        <v>0.78</v>
      </c>
      <c r="L88">
        <v>0.4</v>
      </c>
      <c r="M88">
        <v>10</v>
      </c>
      <c r="N88">
        <v>135</v>
      </c>
      <c r="Q88">
        <v>0.77570188977525756</v>
      </c>
      <c r="R88">
        <v>4025355.613741619</v>
      </c>
      <c r="S88">
        <v>-5.8773396353889798E-3</v>
      </c>
      <c r="T88">
        <v>1767.125197942283</v>
      </c>
      <c r="U88">
        <v>1026.9223183784829</v>
      </c>
      <c r="V88">
        <v>390.95690219962017</v>
      </c>
      <c r="W88">
        <v>2.6266893169061971</v>
      </c>
      <c r="X88" t="s">
        <v>57</v>
      </c>
      <c r="Z88">
        <v>865.86599999999999</v>
      </c>
      <c r="AA88">
        <v>95.163399999999996</v>
      </c>
      <c r="AB88">
        <v>37.809100000000001</v>
      </c>
      <c r="AC88">
        <v>15.08149471937236</v>
      </c>
      <c r="AD88">
        <v>43.566366130936728</v>
      </c>
      <c r="AE88">
        <v>43.566366130936728</v>
      </c>
      <c r="AF88" t="s">
        <v>58</v>
      </c>
      <c r="AG88" t="b">
        <v>1</v>
      </c>
      <c r="AH88">
        <v>2.8887299927224861</v>
      </c>
      <c r="AI88">
        <v>865.77700000000004</v>
      </c>
      <c r="AJ88">
        <v>91.310100000000006</v>
      </c>
      <c r="AK88">
        <v>38.574199999999998</v>
      </c>
      <c r="AL88">
        <v>14.66414035433071</v>
      </c>
      <c r="AM88">
        <v>42.299882787887647</v>
      </c>
      <c r="AN88">
        <v>42.299882787887647</v>
      </c>
      <c r="AO88" t="s">
        <v>58</v>
      </c>
      <c r="AP88" t="b">
        <v>1</v>
      </c>
      <c r="AQ88">
        <v>2.884579782093764</v>
      </c>
      <c r="AR88">
        <v>865.86599999999999</v>
      </c>
      <c r="AS88">
        <v>43.566366130936728</v>
      </c>
      <c r="AT88">
        <v>2.8887299927224861</v>
      </c>
      <c r="AU88" s="5">
        <v>32.544075499809736</v>
      </c>
      <c r="AV88" s="5">
        <v>46.485312661709486</v>
      </c>
      <c r="AW88" s="5">
        <v>2.1578813045636971</v>
      </c>
      <c r="AX88" s="5">
        <v>3.0822749022348925</v>
      </c>
      <c r="AY88" t="s">
        <v>59</v>
      </c>
      <c r="AZ88" t="s">
        <v>60</v>
      </c>
      <c r="BA88" s="23">
        <f t="shared" si="1"/>
        <v>0</v>
      </c>
      <c r="BB88" s="23">
        <f>IF(AND(ISNUMBER(H88),Metadata!$H$5&gt;Metadata!$G$5),MAX(Metadata!$G$5-H88,0,H88-Metadata!$H$5)/(Metadata!$H$5-Metadata!$G$5),"Missing input")</f>
        <v>0</v>
      </c>
      <c r="BC88" s="23">
        <f>IF(AND(ISNUMBER(L88),Metadata!$H$8&gt;Metadata!$G$8),MAX(Metadata!$G$8-L88,0,L88-Metadata!$H$8)/(Metadata!$H$8-Metadata!$G$8),"Missing input")</f>
        <v>0</v>
      </c>
    </row>
    <row r="89" spans="1:55" x14ac:dyDescent="0.2">
      <c r="A89" t="s">
        <v>156</v>
      </c>
      <c r="B89" t="s">
        <v>149</v>
      </c>
      <c r="C89" t="s">
        <v>84</v>
      </c>
      <c r="D89" t="s">
        <v>55</v>
      </c>
      <c r="E89" t="s">
        <v>56</v>
      </c>
      <c r="F89">
        <v>8</v>
      </c>
      <c r="G89">
        <v>29.155454969686971</v>
      </c>
      <c r="H89">
        <v>7.3398505058277053</v>
      </c>
      <c r="I89">
        <v>1.57</v>
      </c>
      <c r="J89">
        <v>1.5</v>
      </c>
      <c r="K89">
        <v>0.78</v>
      </c>
      <c r="L89">
        <v>0.4</v>
      </c>
      <c r="M89">
        <v>10</v>
      </c>
      <c r="N89">
        <v>135</v>
      </c>
      <c r="Q89">
        <v>0.77570188977525756</v>
      </c>
      <c r="R89">
        <v>595711.36772068124</v>
      </c>
      <c r="S89">
        <v>-2.865648400346994E-3</v>
      </c>
      <c r="T89">
        <v>480.50831710260849</v>
      </c>
      <c r="U89">
        <v>969.45070075846206</v>
      </c>
      <c r="V89">
        <v>106.3071498014621</v>
      </c>
      <c r="W89">
        <v>9.1193367762092787</v>
      </c>
      <c r="X89" t="s">
        <v>57</v>
      </c>
      <c r="Z89">
        <v>411.399</v>
      </c>
      <c r="AA89">
        <v>95.163399999999996</v>
      </c>
      <c r="AB89">
        <v>65.006200000000007</v>
      </c>
      <c r="AC89">
        <v>15.80849661290323</v>
      </c>
      <c r="AE89">
        <v>95.163399999999996</v>
      </c>
      <c r="AF89" t="s">
        <v>62</v>
      </c>
      <c r="AG89" t="b">
        <v>0</v>
      </c>
      <c r="AH89">
        <v>6.0197628104829164</v>
      </c>
      <c r="AI89">
        <v>408.48899999999998</v>
      </c>
      <c r="AJ89">
        <v>91.310100000000006</v>
      </c>
      <c r="AK89">
        <v>64.811499999999995</v>
      </c>
      <c r="AL89">
        <v>15.269648779784781</v>
      </c>
      <c r="AN89">
        <v>91.310100000000006</v>
      </c>
      <c r="AO89" t="s">
        <v>62</v>
      </c>
      <c r="AP89" t="b">
        <v>0</v>
      </c>
      <c r="AQ89">
        <v>5.9798428449044518</v>
      </c>
      <c r="AR89">
        <v>411.399</v>
      </c>
      <c r="AS89">
        <v>95.163399999999996</v>
      </c>
      <c r="AT89">
        <v>6.0197628104829164</v>
      </c>
      <c r="AU89" s="5">
        <v>71.087059799999992</v>
      </c>
      <c r="AV89" s="5">
        <v>101.53934779999999</v>
      </c>
      <c r="AW89" s="5">
        <v>4.4967628194307387</v>
      </c>
      <c r="AX89" s="5">
        <v>6.4230869187852715</v>
      </c>
      <c r="AY89" t="s">
        <v>59</v>
      </c>
      <c r="AZ89" t="s">
        <v>60</v>
      </c>
      <c r="BA89" s="23">
        <f t="shared" si="1"/>
        <v>0</v>
      </c>
      <c r="BB89" s="23">
        <f>IF(AND(ISNUMBER(H89),Metadata!$H$5&gt;Metadata!$G$5),MAX(Metadata!$G$5-H89,0,H89-Metadata!$H$5)/(Metadata!$H$5-Metadata!$G$5),"Missing input")</f>
        <v>0</v>
      </c>
      <c r="BC89" s="23">
        <f>IF(AND(ISNUMBER(L89),Metadata!$H$8&gt;Metadata!$G$8),MAX(Metadata!$G$8-L89,0,L89-Metadata!$H$8)/(Metadata!$H$8-Metadata!$G$8),"Missing input")</f>
        <v>0</v>
      </c>
    </row>
    <row r="90" spans="1:55" x14ac:dyDescent="0.2">
      <c r="A90" t="s">
        <v>157</v>
      </c>
      <c r="B90" t="s">
        <v>149</v>
      </c>
      <c r="C90" t="s">
        <v>84</v>
      </c>
      <c r="D90" t="s">
        <v>55</v>
      </c>
      <c r="E90" t="s">
        <v>56</v>
      </c>
      <c r="F90">
        <v>9</v>
      </c>
      <c r="G90">
        <v>59.748609235827082</v>
      </c>
      <c r="H90">
        <v>37.783512331141722</v>
      </c>
      <c r="I90">
        <v>1.57</v>
      </c>
      <c r="J90">
        <v>1.5</v>
      </c>
      <c r="K90">
        <v>0.78</v>
      </c>
      <c r="L90">
        <v>0.4</v>
      </c>
      <c r="M90">
        <v>10</v>
      </c>
      <c r="N90">
        <v>135</v>
      </c>
      <c r="Q90">
        <v>0.77570188977525756</v>
      </c>
      <c r="R90">
        <v>6726258.2664913209</v>
      </c>
      <c r="S90">
        <v>-6.0987132941538041E-3</v>
      </c>
      <c r="T90">
        <v>2958.9793454838732</v>
      </c>
      <c r="U90">
        <v>1085.540251520539</v>
      </c>
      <c r="V90">
        <v>654.64144811590108</v>
      </c>
      <c r="W90">
        <v>1.6582210836860261</v>
      </c>
      <c r="X90" t="s">
        <v>57</v>
      </c>
      <c r="Z90">
        <v>1160.3399999999999</v>
      </c>
      <c r="AA90">
        <v>95.163399999999996</v>
      </c>
      <c r="AB90">
        <v>34.031300000000002</v>
      </c>
      <c r="AC90">
        <v>15.026169468128289</v>
      </c>
      <c r="AD90">
        <v>36.394870945016237</v>
      </c>
      <c r="AE90">
        <v>36.394870945016237</v>
      </c>
      <c r="AF90" t="s">
        <v>58</v>
      </c>
      <c r="AG90" t="b">
        <v>1</v>
      </c>
      <c r="AH90">
        <v>2.422099060057366</v>
      </c>
      <c r="AI90">
        <v>1154.82</v>
      </c>
      <c r="AJ90">
        <v>91.310100000000006</v>
      </c>
      <c r="AK90">
        <v>33.342399999999998</v>
      </c>
      <c r="AL90">
        <v>14.14928733433988</v>
      </c>
      <c r="AM90">
        <v>35.795627020427851</v>
      </c>
      <c r="AN90">
        <v>35.795627020427851</v>
      </c>
      <c r="AO90" t="s">
        <v>58</v>
      </c>
      <c r="AP90" t="b">
        <v>1</v>
      </c>
      <c r="AQ90">
        <v>2.529853707441009</v>
      </c>
      <c r="AR90">
        <v>1160.3399999999999</v>
      </c>
      <c r="AS90">
        <v>36.394870945016237</v>
      </c>
      <c r="AT90">
        <v>2.529853707441009</v>
      </c>
      <c r="AU90" s="5">
        <v>27.18696859592713</v>
      </c>
      <c r="AV90" s="5">
        <v>38.833327298332321</v>
      </c>
      <c r="AW90" s="5">
        <v>1.8898007194584336</v>
      </c>
      <c r="AX90" s="5">
        <v>2.6993539058395566</v>
      </c>
      <c r="AY90" t="s">
        <v>59</v>
      </c>
      <c r="AZ90" t="s">
        <v>60</v>
      </c>
      <c r="BA90" s="23">
        <f t="shared" si="1"/>
        <v>0</v>
      </c>
      <c r="BB90" s="23">
        <f>IF(AND(ISNUMBER(H90),Metadata!$H$5&gt;Metadata!$G$5),MAX(Metadata!$G$5-H90,0,H90-Metadata!$H$5)/(Metadata!$H$5-Metadata!$G$5),"Missing input")</f>
        <v>0</v>
      </c>
      <c r="BC90" s="23">
        <f>IF(AND(ISNUMBER(L90),Metadata!$H$8&gt;Metadata!$G$8),MAX(Metadata!$G$8-L90,0,L90-Metadata!$H$8)/(Metadata!$H$8-Metadata!$G$8),"Missing input")</f>
        <v>0</v>
      </c>
    </row>
    <row r="91" spans="1:55" x14ac:dyDescent="0.2">
      <c r="A91" t="s">
        <v>158</v>
      </c>
      <c r="B91" t="s">
        <v>149</v>
      </c>
      <c r="C91" t="s">
        <v>84</v>
      </c>
      <c r="D91" t="s">
        <v>55</v>
      </c>
      <c r="E91" t="s">
        <v>56</v>
      </c>
      <c r="F91">
        <v>10</v>
      </c>
      <c r="G91">
        <v>34.746337553007109</v>
      </c>
      <c r="H91">
        <v>23.7414613202046</v>
      </c>
      <c r="I91">
        <v>1.57</v>
      </c>
      <c r="J91">
        <v>1.5</v>
      </c>
      <c r="K91">
        <v>0.78</v>
      </c>
      <c r="L91">
        <v>0.4</v>
      </c>
      <c r="M91">
        <v>10</v>
      </c>
      <c r="N91">
        <v>135</v>
      </c>
      <c r="Q91">
        <v>0.77570188977525756</v>
      </c>
      <c r="R91">
        <v>2428507.8121004719</v>
      </c>
      <c r="S91">
        <v>-5.224122634058013E-3</v>
      </c>
      <c r="T91">
        <v>1111.217336052197</v>
      </c>
      <c r="U91">
        <v>994.11314438804277</v>
      </c>
      <c r="V91">
        <v>245.84454337438001</v>
      </c>
      <c r="W91">
        <v>4.0436656870361176</v>
      </c>
      <c r="X91" t="s">
        <v>57</v>
      </c>
      <c r="Z91">
        <v>683.99199999999996</v>
      </c>
      <c r="AA91">
        <v>95.163399999999996</v>
      </c>
      <c r="AB91">
        <v>44.910200000000003</v>
      </c>
      <c r="AC91">
        <v>15.546533558111861</v>
      </c>
      <c r="AD91">
        <v>57.395529166465337</v>
      </c>
      <c r="AE91">
        <v>57.395529166465337</v>
      </c>
      <c r="AF91" t="s">
        <v>58</v>
      </c>
      <c r="AG91" t="b">
        <v>1</v>
      </c>
      <c r="AH91">
        <v>3.6918538111357662</v>
      </c>
      <c r="AI91">
        <v>679.81</v>
      </c>
      <c r="AJ91">
        <v>91.310100000000006</v>
      </c>
      <c r="AK91">
        <v>45.9178</v>
      </c>
      <c r="AL91">
        <v>15.141499184952981</v>
      </c>
      <c r="AM91">
        <v>56.882429583469992</v>
      </c>
      <c r="AN91">
        <v>56.882429583469992</v>
      </c>
      <c r="AO91" t="s">
        <v>58</v>
      </c>
      <c r="AP91" t="b">
        <v>1</v>
      </c>
      <c r="AQ91">
        <v>3.756723748992933</v>
      </c>
      <c r="AR91">
        <v>683.99199999999996</v>
      </c>
      <c r="AS91">
        <v>57.395529166465337</v>
      </c>
      <c r="AT91">
        <v>3.756723748992933</v>
      </c>
      <c r="AU91" s="5">
        <v>42.874460287349606</v>
      </c>
      <c r="AV91" s="5">
        <v>61.241029620618512</v>
      </c>
      <c r="AW91" s="5">
        <v>2.806272640497721</v>
      </c>
      <c r="AX91" s="5">
        <v>4.0084242401754597</v>
      </c>
      <c r="AY91" t="s">
        <v>59</v>
      </c>
      <c r="AZ91" t="s">
        <v>60</v>
      </c>
      <c r="BA91" s="23">
        <f t="shared" si="1"/>
        <v>0</v>
      </c>
      <c r="BB91" s="23">
        <f>IF(AND(ISNUMBER(H91),Metadata!$H$5&gt;Metadata!$G$5),MAX(Metadata!$G$5-H91,0,H91-Metadata!$H$5)/(Metadata!$H$5-Metadata!$G$5),"Missing input")</f>
        <v>0</v>
      </c>
      <c r="BC91" s="23">
        <f>IF(AND(ISNUMBER(L91),Metadata!$H$8&gt;Metadata!$G$8),MAX(Metadata!$G$8-L91,0,L91-Metadata!$H$8)/(Metadata!$H$8-Metadata!$G$8),"Missing input")</f>
        <v>0</v>
      </c>
    </row>
    <row r="92" spans="1:55" x14ac:dyDescent="0.2">
      <c r="A92" t="s">
        <v>159</v>
      </c>
      <c r="B92" t="s">
        <v>149</v>
      </c>
      <c r="C92" t="s">
        <v>84</v>
      </c>
      <c r="D92" t="s">
        <v>55</v>
      </c>
      <c r="E92" t="s">
        <v>56</v>
      </c>
      <c r="F92">
        <v>11</v>
      </c>
      <c r="G92">
        <v>24.502161634428251</v>
      </c>
      <c r="H92">
        <v>33.048591474592847</v>
      </c>
      <c r="I92">
        <v>1.57</v>
      </c>
      <c r="J92">
        <v>1.5</v>
      </c>
      <c r="K92">
        <v>0.78</v>
      </c>
      <c r="L92">
        <v>0.4</v>
      </c>
      <c r="M92">
        <v>10</v>
      </c>
      <c r="N92">
        <v>135</v>
      </c>
      <c r="Q92">
        <v>0.77570188977525756</v>
      </c>
      <c r="R92">
        <v>2383007.1153019848</v>
      </c>
      <c r="S92">
        <v>-5.9506571737177466E-3</v>
      </c>
      <c r="T92">
        <v>1134.971999997148</v>
      </c>
      <c r="U92">
        <v>947.05061538725488</v>
      </c>
      <c r="V92">
        <v>251.099999999369</v>
      </c>
      <c r="W92">
        <v>3.7716073890467339</v>
      </c>
      <c r="X92" t="s">
        <v>57</v>
      </c>
      <c r="Z92">
        <v>596.31299999999999</v>
      </c>
      <c r="AA92">
        <v>95.163399999999996</v>
      </c>
      <c r="AB92">
        <v>37.557300000000012</v>
      </c>
      <c r="AC92">
        <v>15.47869282113108</v>
      </c>
      <c r="AD92">
        <v>42.77487526952244</v>
      </c>
      <c r="AE92">
        <v>42.77487526952244</v>
      </c>
      <c r="AF92" t="s">
        <v>58</v>
      </c>
      <c r="AG92" t="b">
        <v>1</v>
      </c>
      <c r="AH92">
        <v>2.7634681922964051</v>
      </c>
      <c r="AI92">
        <v>592.77300000000002</v>
      </c>
      <c r="AJ92">
        <v>91.310100000000006</v>
      </c>
      <c r="AK92">
        <v>37.0047</v>
      </c>
      <c r="AL92">
        <v>14.894064569950039</v>
      </c>
      <c r="AM92">
        <v>41.304990307870128</v>
      </c>
      <c r="AN92">
        <v>41.304990307870128</v>
      </c>
      <c r="AO92" t="s">
        <v>58</v>
      </c>
      <c r="AP92" t="b">
        <v>1</v>
      </c>
      <c r="AQ92">
        <v>2.7732517281552709</v>
      </c>
      <c r="AR92">
        <v>596.31299999999999</v>
      </c>
      <c r="AS92">
        <v>42.77487526952244</v>
      </c>
      <c r="AT92">
        <v>2.7732517281552709</v>
      </c>
      <c r="AU92" s="5">
        <v>31.952831826333263</v>
      </c>
      <c r="AV92" s="5">
        <v>45.64079191258044</v>
      </c>
      <c r="AW92" s="5">
        <v>2.0716190409319872</v>
      </c>
      <c r="AX92" s="5">
        <v>2.9590595939416739</v>
      </c>
      <c r="AY92" t="s">
        <v>59</v>
      </c>
      <c r="AZ92" t="s">
        <v>60</v>
      </c>
      <c r="BA92" s="23">
        <f t="shared" si="1"/>
        <v>0</v>
      </c>
      <c r="BB92" s="23">
        <f>IF(AND(ISNUMBER(H92),Metadata!$H$5&gt;Metadata!$G$5),MAX(Metadata!$G$5-H92,0,H92-Metadata!$H$5)/(Metadata!$H$5-Metadata!$G$5),"Missing input")</f>
        <v>0</v>
      </c>
      <c r="BC92" s="23">
        <f>IF(AND(ISNUMBER(L92),Metadata!$H$8&gt;Metadata!$G$8),MAX(Metadata!$G$8-L92,0,L92-Metadata!$H$8)/(Metadata!$H$8-Metadata!$G$8),"Missing input")</f>
        <v>0</v>
      </c>
    </row>
    <row r="93" spans="1:55" x14ac:dyDescent="0.2">
      <c r="A93" t="s">
        <v>160</v>
      </c>
      <c r="B93" t="s">
        <v>149</v>
      </c>
      <c r="C93" t="s">
        <v>84</v>
      </c>
      <c r="D93" t="s">
        <v>55</v>
      </c>
      <c r="E93" t="s">
        <v>56</v>
      </c>
      <c r="F93">
        <v>12</v>
      </c>
      <c r="G93">
        <v>56.241153781572699</v>
      </c>
      <c r="H93">
        <v>14.78764467513273</v>
      </c>
      <c r="I93">
        <v>1.57</v>
      </c>
      <c r="J93">
        <v>1.5</v>
      </c>
      <c r="K93">
        <v>0.78</v>
      </c>
      <c r="L93">
        <v>0.4</v>
      </c>
      <c r="M93">
        <v>10</v>
      </c>
      <c r="N93">
        <v>135</v>
      </c>
      <c r="Q93">
        <v>0.77570188977525756</v>
      </c>
      <c r="R93">
        <v>2448743.9197241841</v>
      </c>
      <c r="S93">
        <v>-4.0103473349664322E-3</v>
      </c>
      <c r="T93">
        <v>1060.8343060705299</v>
      </c>
      <c r="U93">
        <v>1074.0659173862421</v>
      </c>
      <c r="V93">
        <v>234.69785532533859</v>
      </c>
      <c r="W93">
        <v>4.5763772144290362</v>
      </c>
      <c r="X93" t="s">
        <v>57</v>
      </c>
      <c r="Z93">
        <v>767.21900000000005</v>
      </c>
      <c r="AA93">
        <v>95.163399999999996</v>
      </c>
      <c r="AB93">
        <v>51.296399999999998</v>
      </c>
      <c r="AC93">
        <v>14.505378836971349</v>
      </c>
      <c r="AD93">
        <v>90.548486064516126</v>
      </c>
      <c r="AE93">
        <v>90.548486064516126</v>
      </c>
      <c r="AF93" t="s">
        <v>58</v>
      </c>
      <c r="AG93" t="b">
        <v>1</v>
      </c>
      <c r="AH93">
        <v>6.2424075291109169</v>
      </c>
      <c r="AI93">
        <v>763.774</v>
      </c>
      <c r="AJ93">
        <v>91.310100000000006</v>
      </c>
      <c r="AK93">
        <v>58.793500000000002</v>
      </c>
      <c r="AL93">
        <v>14.155248865435359</v>
      </c>
      <c r="AM93">
        <v>89.980947748312659</v>
      </c>
      <c r="AN93">
        <v>89.980947748312659</v>
      </c>
      <c r="AO93" t="s">
        <v>58</v>
      </c>
      <c r="AP93" t="b">
        <v>1</v>
      </c>
      <c r="AQ93">
        <v>6.3567195888749373</v>
      </c>
      <c r="AR93">
        <v>767.21900000000005</v>
      </c>
      <c r="AS93">
        <v>90.548486064516126</v>
      </c>
      <c r="AT93">
        <v>6.3567195888749373</v>
      </c>
      <c r="AU93" s="5">
        <v>67.639719090193552</v>
      </c>
      <c r="AV93" s="5">
        <v>96.6152346308387</v>
      </c>
      <c r="AW93" s="5">
        <v>4.7484695328895778</v>
      </c>
      <c r="AX93" s="5">
        <v>6.7826198013295578</v>
      </c>
      <c r="AY93" t="s">
        <v>59</v>
      </c>
      <c r="AZ93" t="s">
        <v>60</v>
      </c>
      <c r="BA93" s="23">
        <f t="shared" si="1"/>
        <v>0</v>
      </c>
      <c r="BB93" s="23">
        <f>IF(AND(ISNUMBER(H93),Metadata!$H$5&gt;Metadata!$G$5),MAX(Metadata!$G$5-H93,0,H93-Metadata!$H$5)/(Metadata!$H$5-Metadata!$G$5),"Missing input")</f>
        <v>0</v>
      </c>
      <c r="BC93" s="23">
        <f>IF(AND(ISNUMBER(L93),Metadata!$H$8&gt;Metadata!$G$8),MAX(Metadata!$G$8-L93,0,L93-Metadata!$H$8)/(Metadata!$H$8-Metadata!$G$8),"Missing input")</f>
        <v>0</v>
      </c>
    </row>
    <row r="94" spans="1:55" x14ac:dyDescent="0.2">
      <c r="A94" t="s">
        <v>161</v>
      </c>
      <c r="B94" t="s">
        <v>149</v>
      </c>
      <c r="C94" t="s">
        <v>84</v>
      </c>
      <c r="D94" t="s">
        <v>55</v>
      </c>
      <c r="E94" t="s">
        <v>56</v>
      </c>
      <c r="F94">
        <v>13</v>
      </c>
      <c r="G94">
        <v>49.119901382435643</v>
      </c>
      <c r="H94">
        <v>22.54933477691009</v>
      </c>
      <c r="I94">
        <v>1.57</v>
      </c>
      <c r="J94">
        <v>1.5</v>
      </c>
      <c r="K94">
        <v>0.78</v>
      </c>
      <c r="L94">
        <v>0.4</v>
      </c>
      <c r="M94">
        <v>10</v>
      </c>
      <c r="N94">
        <v>135</v>
      </c>
      <c r="Q94">
        <v>0.77570188977525756</v>
      </c>
      <c r="R94">
        <v>3276584.6264440492</v>
      </c>
      <c r="S94">
        <v>-5.0875345610716166E-3</v>
      </c>
      <c r="T94">
        <v>1412.968799359719</v>
      </c>
      <c r="U94">
        <v>1049.6113351906849</v>
      </c>
      <c r="V94">
        <v>312.60371667250428</v>
      </c>
      <c r="W94">
        <v>3.3576418935872669</v>
      </c>
      <c r="X94" t="s">
        <v>57</v>
      </c>
      <c r="Z94">
        <v>849.91300000000001</v>
      </c>
      <c r="AA94">
        <v>64.934699999999992</v>
      </c>
      <c r="AB94">
        <v>44.910200000000003</v>
      </c>
      <c r="AC94">
        <v>15.176895149253729</v>
      </c>
      <c r="AD94">
        <v>45.0345287935803</v>
      </c>
      <c r="AE94">
        <v>45.0345287935803</v>
      </c>
      <c r="AF94" t="s">
        <v>58</v>
      </c>
      <c r="AG94" t="b">
        <v>1</v>
      </c>
      <c r="AH94">
        <v>2.967308421827946</v>
      </c>
      <c r="AI94">
        <v>841.15200000000004</v>
      </c>
      <c r="AJ94">
        <v>64.882999999999996</v>
      </c>
      <c r="AK94">
        <v>39.358900000000013</v>
      </c>
      <c r="AL94">
        <v>14.683779272910879</v>
      </c>
      <c r="AM94">
        <v>60.273925190828123</v>
      </c>
      <c r="AN94">
        <v>60.273925190828123</v>
      </c>
      <c r="AO94" t="s">
        <v>58</v>
      </c>
      <c r="AP94" t="b">
        <v>1</v>
      </c>
      <c r="AQ94">
        <v>4.1047964608146517</v>
      </c>
      <c r="AR94">
        <v>849.91300000000001</v>
      </c>
      <c r="AS94">
        <v>60.273925190828123</v>
      </c>
      <c r="AT94">
        <v>4.1047964608146517</v>
      </c>
      <c r="AU94" s="5">
        <v>45.02462211754861</v>
      </c>
      <c r="AV94" s="5">
        <v>64.31227817861361</v>
      </c>
      <c r="AW94" s="5">
        <v>3.066282956228545</v>
      </c>
      <c r="AX94" s="5">
        <v>4.3798178236892333</v>
      </c>
      <c r="AY94" t="s">
        <v>59</v>
      </c>
      <c r="AZ94" t="s">
        <v>60</v>
      </c>
      <c r="BA94" s="23">
        <f t="shared" si="1"/>
        <v>0</v>
      </c>
      <c r="BB94" s="23">
        <f>IF(AND(ISNUMBER(H94),Metadata!$H$5&gt;Metadata!$G$5),MAX(Metadata!$G$5-H94,0,H94-Metadata!$H$5)/(Metadata!$H$5-Metadata!$G$5),"Missing input")</f>
        <v>0</v>
      </c>
      <c r="BC94" s="23">
        <f>IF(AND(ISNUMBER(L94),Metadata!$H$8&gt;Metadata!$G$8),MAX(Metadata!$G$8-L94,0,L94-Metadata!$H$8)/(Metadata!$H$8-Metadata!$G$8),"Missing input")</f>
        <v>0</v>
      </c>
    </row>
    <row r="95" spans="1:55" x14ac:dyDescent="0.2">
      <c r="A95" t="s">
        <v>162</v>
      </c>
      <c r="B95" t="s">
        <v>149</v>
      </c>
      <c r="C95" t="s">
        <v>84</v>
      </c>
      <c r="D95" t="s">
        <v>55</v>
      </c>
      <c r="E95" t="s">
        <v>56</v>
      </c>
      <c r="F95">
        <v>14</v>
      </c>
      <c r="G95">
        <v>37.958866376576751</v>
      </c>
      <c r="H95">
        <v>9.8264864335603903</v>
      </c>
      <c r="I95">
        <v>1.57</v>
      </c>
      <c r="J95">
        <v>1.5</v>
      </c>
      <c r="K95">
        <v>0.78</v>
      </c>
      <c r="L95">
        <v>0.4</v>
      </c>
      <c r="M95">
        <v>10</v>
      </c>
      <c r="N95">
        <v>135</v>
      </c>
      <c r="Q95">
        <v>0.77570188977525756</v>
      </c>
      <c r="R95">
        <v>1072728.181448289</v>
      </c>
      <c r="S95">
        <v>-3.2408732395740351E-3</v>
      </c>
      <c r="T95">
        <v>610.81355109044614</v>
      </c>
      <c r="U95">
        <v>1007.389101825231</v>
      </c>
      <c r="V95">
        <v>135.13574139169171</v>
      </c>
      <c r="W95">
        <v>7.4546459097398081</v>
      </c>
      <c r="X95" t="s">
        <v>57</v>
      </c>
      <c r="Z95">
        <v>510.47399999999999</v>
      </c>
      <c r="AA95">
        <v>95.163399999999996</v>
      </c>
      <c r="AB95">
        <v>65.006200000000007</v>
      </c>
      <c r="AC95">
        <v>15.264310557768921</v>
      </c>
      <c r="AE95">
        <v>95.163399999999996</v>
      </c>
      <c r="AF95" t="s">
        <v>62</v>
      </c>
      <c r="AG95" t="b">
        <v>0</v>
      </c>
      <c r="AH95">
        <v>6.2343726328055888</v>
      </c>
      <c r="AI95">
        <v>507.83699999999999</v>
      </c>
      <c r="AJ95">
        <v>91.310100000000006</v>
      </c>
      <c r="AK95">
        <v>64.811499999999995</v>
      </c>
      <c r="AL95">
        <v>14.853645680401661</v>
      </c>
      <c r="AN95">
        <v>91.310100000000006</v>
      </c>
      <c r="AO95" t="s">
        <v>62</v>
      </c>
      <c r="AP95" t="b">
        <v>0</v>
      </c>
      <c r="AQ95">
        <v>6.1473191137497816</v>
      </c>
      <c r="AR95">
        <v>510.47399999999999</v>
      </c>
      <c r="AS95">
        <v>95.163399999999996</v>
      </c>
      <c r="AT95">
        <v>6.2343726328055888</v>
      </c>
      <c r="AU95" s="5">
        <v>71.087059799999992</v>
      </c>
      <c r="AV95" s="5">
        <v>101.53934779999999</v>
      </c>
      <c r="AW95" s="5">
        <v>4.6570763567057751</v>
      </c>
      <c r="AX95" s="5">
        <v>6.6520755992035632</v>
      </c>
      <c r="AY95" t="s">
        <v>59</v>
      </c>
      <c r="AZ95" t="s">
        <v>60</v>
      </c>
      <c r="BA95" s="23">
        <f t="shared" si="1"/>
        <v>0</v>
      </c>
      <c r="BB95" s="23">
        <f>IF(AND(ISNUMBER(H95),Metadata!$H$5&gt;Metadata!$G$5),MAX(Metadata!$G$5-H95,0,H95-Metadata!$H$5)/(Metadata!$H$5-Metadata!$G$5),"Missing input")</f>
        <v>0</v>
      </c>
      <c r="BC95" s="23">
        <f>IF(AND(ISNUMBER(L95),Metadata!$H$8&gt;Metadata!$G$8),MAX(Metadata!$G$8-L95,0,L95-Metadata!$H$8)/(Metadata!$H$8-Metadata!$G$8),"Missing input")</f>
        <v>0</v>
      </c>
    </row>
    <row r="96" spans="1:55" x14ac:dyDescent="0.2">
      <c r="A96" t="s">
        <v>163</v>
      </c>
      <c r="B96" t="s">
        <v>149</v>
      </c>
      <c r="C96" t="s">
        <v>84</v>
      </c>
      <c r="D96" t="s">
        <v>55</v>
      </c>
      <c r="E96" t="s">
        <v>56</v>
      </c>
      <c r="F96">
        <v>15</v>
      </c>
      <c r="G96">
        <v>27.308053040943211</v>
      </c>
      <c r="H96">
        <v>5.2772178758296739</v>
      </c>
      <c r="I96">
        <v>1.57</v>
      </c>
      <c r="J96">
        <v>1.5</v>
      </c>
      <c r="K96">
        <v>0.78</v>
      </c>
      <c r="L96">
        <v>0.4</v>
      </c>
      <c r="M96">
        <v>10</v>
      </c>
      <c r="N96">
        <v>135</v>
      </c>
      <c r="Q96">
        <v>0.77570188977525756</v>
      </c>
      <c r="R96">
        <v>386052.96198531118</v>
      </c>
      <c r="S96">
        <v>-2.569858281978647E-3</v>
      </c>
      <c r="T96">
        <v>428.52672237905682</v>
      </c>
      <c r="U96">
        <v>960.78844299831962</v>
      </c>
      <c r="V96">
        <v>94.806796986516986</v>
      </c>
      <c r="W96">
        <v>10.134172586116989</v>
      </c>
      <c r="X96" t="s">
        <v>57</v>
      </c>
      <c r="Z96">
        <v>369.50799999999998</v>
      </c>
      <c r="AA96">
        <v>72.1053</v>
      </c>
      <c r="AB96">
        <v>37.809100000000001</v>
      </c>
      <c r="AC96">
        <v>16.12233536100057</v>
      </c>
      <c r="AD96">
        <v>51.375420748608242</v>
      </c>
      <c r="AE96">
        <v>51.375420748608242</v>
      </c>
      <c r="AF96" t="s">
        <v>58</v>
      </c>
      <c r="AG96" t="b">
        <v>1</v>
      </c>
      <c r="AH96">
        <v>3.1865991866714181</v>
      </c>
      <c r="AI96">
        <v>368.78300000000002</v>
      </c>
      <c r="AJ96">
        <v>91.324600000000004</v>
      </c>
      <c r="AK96">
        <v>32.289299999999997</v>
      </c>
      <c r="AL96">
        <v>15.87904757658414</v>
      </c>
      <c r="AN96">
        <v>91.324600000000004</v>
      </c>
      <c r="AO96" t="s">
        <v>62</v>
      </c>
      <c r="AP96" t="b">
        <v>0</v>
      </c>
      <c r="AQ96">
        <v>5.7512643349385009</v>
      </c>
      <c r="AR96">
        <v>369.50799999999998</v>
      </c>
      <c r="AS96">
        <v>91.324600000000004</v>
      </c>
      <c r="AT96">
        <v>5.7512643349385009</v>
      </c>
      <c r="AU96" s="5">
        <v>68.219476200000003</v>
      </c>
      <c r="AV96" s="5">
        <v>97.443348200000003</v>
      </c>
      <c r="AW96" s="5">
        <v>4.2961944581990599</v>
      </c>
      <c r="AX96" s="5">
        <v>6.1365990453793797</v>
      </c>
      <c r="AY96" t="s">
        <v>59</v>
      </c>
      <c r="AZ96" t="s">
        <v>60</v>
      </c>
      <c r="BA96" s="23">
        <f t="shared" si="1"/>
        <v>0</v>
      </c>
      <c r="BB96" s="23">
        <f>IF(AND(ISNUMBER(H96),Metadata!$H$5&gt;Metadata!$G$5),MAX(Metadata!$G$5-H96,0,H96-Metadata!$H$5)/(Metadata!$H$5-Metadata!$G$5),"Missing input")</f>
        <v>0</v>
      </c>
      <c r="BC96" s="23">
        <f>IF(AND(ISNUMBER(L96),Metadata!$H$8&gt;Metadata!$G$8),MAX(Metadata!$G$8-L96,0,L96-Metadata!$H$8)/(Metadata!$H$8-Metadata!$G$8),"Missing input")</f>
        <v>0</v>
      </c>
    </row>
    <row r="97" spans="1:55" x14ac:dyDescent="0.2">
      <c r="A97" t="s">
        <v>164</v>
      </c>
      <c r="B97" t="s">
        <v>149</v>
      </c>
      <c r="C97" t="s">
        <v>84</v>
      </c>
      <c r="D97" t="s">
        <v>55</v>
      </c>
      <c r="E97" t="s">
        <v>56</v>
      </c>
      <c r="F97">
        <v>16</v>
      </c>
      <c r="G97">
        <v>31.1252119640606</v>
      </c>
      <c r="H97">
        <v>39.5069074866867</v>
      </c>
      <c r="I97">
        <v>1.57</v>
      </c>
      <c r="J97">
        <v>1.5</v>
      </c>
      <c r="K97">
        <v>0.78</v>
      </c>
      <c r="L97">
        <v>0.4</v>
      </c>
      <c r="M97">
        <v>10</v>
      </c>
      <c r="N97">
        <v>135</v>
      </c>
      <c r="Q97">
        <v>0.77570188977525756</v>
      </c>
      <c r="R97">
        <v>3642703.933702969</v>
      </c>
      <c r="S97">
        <v>-6.1201604625627376E-3</v>
      </c>
      <c r="T97">
        <v>1657.5346780090949</v>
      </c>
      <c r="U97">
        <v>978.38945744533305</v>
      </c>
      <c r="V97">
        <v>366.71121194891492</v>
      </c>
      <c r="W97">
        <v>2.668010754963305</v>
      </c>
      <c r="X97" t="s">
        <v>57</v>
      </c>
      <c r="Z97">
        <v>713.50599999999997</v>
      </c>
      <c r="AA97">
        <v>95.163399999999996</v>
      </c>
      <c r="AB97">
        <v>32.772100000000002</v>
      </c>
      <c r="AC97">
        <v>14.38989302596538</v>
      </c>
      <c r="AD97">
        <v>35.978786948315623</v>
      </c>
      <c r="AE97">
        <v>35.978786948315623</v>
      </c>
      <c r="AF97" t="s">
        <v>58</v>
      </c>
      <c r="AG97" t="b">
        <v>1</v>
      </c>
      <c r="AH97">
        <v>2.5002817521572158</v>
      </c>
      <c r="AI97">
        <v>714.88699999999994</v>
      </c>
      <c r="AJ97">
        <v>91.310100000000006</v>
      </c>
      <c r="AK97">
        <v>32.289299999999997</v>
      </c>
      <c r="AL97">
        <v>13.77315818584071</v>
      </c>
      <c r="AM97">
        <v>35.340309588781977</v>
      </c>
      <c r="AN97">
        <v>35.340309588781977</v>
      </c>
      <c r="AO97" t="s">
        <v>58</v>
      </c>
      <c r="AP97" t="b">
        <v>1</v>
      </c>
      <c r="AQ97">
        <v>2.5658827925982188</v>
      </c>
      <c r="AR97">
        <v>714.88699999999994</v>
      </c>
      <c r="AS97">
        <v>35.978786948315623</v>
      </c>
      <c r="AT97">
        <v>2.5658827925982188</v>
      </c>
      <c r="AU97" s="5">
        <v>26.87615385039177</v>
      </c>
      <c r="AV97" s="5">
        <v>38.389365673852765</v>
      </c>
      <c r="AW97" s="5">
        <v>1.9167144460708694</v>
      </c>
      <c r="AX97" s="5">
        <v>2.7377969397022994</v>
      </c>
      <c r="AY97" t="s">
        <v>59</v>
      </c>
      <c r="AZ97" t="s">
        <v>60</v>
      </c>
      <c r="BA97" s="23">
        <f t="shared" si="1"/>
        <v>0</v>
      </c>
      <c r="BB97" s="23">
        <f>IF(AND(ISNUMBER(H97),Metadata!$H$5&gt;Metadata!$G$5),MAX(Metadata!$G$5-H97,0,H97-Metadata!$H$5)/(Metadata!$H$5-Metadata!$G$5),"Missing input")</f>
        <v>0</v>
      </c>
      <c r="BC97" s="23">
        <f>IF(AND(ISNUMBER(L97),Metadata!$H$8&gt;Metadata!$G$8),MAX(Metadata!$G$8-L97,0,L97-Metadata!$H$8)/(Metadata!$H$8-Metadata!$G$8),"Missing input")</f>
        <v>0</v>
      </c>
    </row>
    <row r="98" spans="1:55" x14ac:dyDescent="0.2">
      <c r="A98" t="s">
        <v>165</v>
      </c>
      <c r="B98" t="s">
        <v>149</v>
      </c>
      <c r="C98" t="s">
        <v>84</v>
      </c>
      <c r="D98" t="s">
        <v>55</v>
      </c>
      <c r="E98" t="s">
        <v>56</v>
      </c>
      <c r="F98">
        <v>17</v>
      </c>
      <c r="G98">
        <v>46.390186033042063</v>
      </c>
      <c r="H98">
        <v>16.21387510983789</v>
      </c>
      <c r="I98">
        <v>1.57</v>
      </c>
      <c r="J98">
        <v>1.5</v>
      </c>
      <c r="K98">
        <v>0.78</v>
      </c>
      <c r="L98">
        <v>0.4</v>
      </c>
      <c r="M98">
        <v>10</v>
      </c>
      <c r="N98">
        <v>135</v>
      </c>
      <c r="Q98">
        <v>0.77570188977525756</v>
      </c>
      <c r="R98">
        <v>2210215.3729856689</v>
      </c>
      <c r="S98">
        <v>-4.2266100963847522E-3</v>
      </c>
      <c r="T98">
        <v>992.19235058261199</v>
      </c>
      <c r="U98">
        <v>1039.770485492922</v>
      </c>
      <c r="V98">
        <v>219.5115819873036</v>
      </c>
      <c r="W98">
        <v>4.7367454422202746</v>
      </c>
      <c r="X98" t="s">
        <v>57</v>
      </c>
      <c r="Z98">
        <v>705.93100000000004</v>
      </c>
      <c r="AA98">
        <v>95.163399999999996</v>
      </c>
      <c r="AB98">
        <v>51.296399999999998</v>
      </c>
      <c r="AC98">
        <v>14.892288329583801</v>
      </c>
      <c r="AD98">
        <v>83.749763437064559</v>
      </c>
      <c r="AE98">
        <v>83.749763437064559</v>
      </c>
      <c r="AF98" t="s">
        <v>58</v>
      </c>
      <c r="AG98" t="b">
        <v>1</v>
      </c>
      <c r="AH98">
        <v>5.6237001046168391</v>
      </c>
      <c r="AI98">
        <v>702.37599999999998</v>
      </c>
      <c r="AJ98">
        <v>91.310100000000006</v>
      </c>
      <c r="AK98">
        <v>51.757599999999996</v>
      </c>
      <c r="AL98">
        <v>14.49463311990686</v>
      </c>
      <c r="AM98">
        <v>83.292138188674414</v>
      </c>
      <c r="AN98">
        <v>83.292138188674414</v>
      </c>
      <c r="AO98" t="s">
        <v>58</v>
      </c>
      <c r="AP98" t="b">
        <v>1</v>
      </c>
      <c r="AQ98">
        <v>5.7464123099660513</v>
      </c>
      <c r="AR98">
        <v>705.93100000000004</v>
      </c>
      <c r="AS98">
        <v>83.749763437064559</v>
      </c>
      <c r="AT98">
        <v>5.7464123099660513</v>
      </c>
      <c r="AU98" s="5">
        <v>62.561073287487226</v>
      </c>
      <c r="AV98" s="5">
        <v>89.360997587347882</v>
      </c>
      <c r="AW98" s="5">
        <v>4.2925699955446399</v>
      </c>
      <c r="AX98" s="5">
        <v>6.1314219347337762</v>
      </c>
      <c r="AY98" t="s">
        <v>59</v>
      </c>
      <c r="AZ98" t="s">
        <v>60</v>
      </c>
      <c r="BA98" s="23">
        <f t="shared" si="1"/>
        <v>0</v>
      </c>
      <c r="BB98" s="23">
        <f>IF(AND(ISNUMBER(H98),Metadata!$H$5&gt;Metadata!$G$5),MAX(Metadata!$G$5-H98,0,H98-Metadata!$H$5)/(Metadata!$H$5-Metadata!$G$5),"Missing input")</f>
        <v>0</v>
      </c>
      <c r="BC98" s="23">
        <f>IF(AND(ISNUMBER(L98),Metadata!$H$8&gt;Metadata!$G$8),MAX(Metadata!$G$8-L98,0,L98-Metadata!$H$8)/(Metadata!$H$8-Metadata!$G$8),"Missing input")</f>
        <v>0</v>
      </c>
    </row>
    <row r="99" spans="1:55" x14ac:dyDescent="0.2">
      <c r="A99" t="s">
        <v>166</v>
      </c>
      <c r="B99" t="s">
        <v>149</v>
      </c>
      <c r="C99" t="s">
        <v>84</v>
      </c>
      <c r="D99" t="s">
        <v>55</v>
      </c>
      <c r="E99" t="s">
        <v>56</v>
      </c>
      <c r="F99">
        <v>18</v>
      </c>
      <c r="G99">
        <v>54.165408264435399</v>
      </c>
      <c r="H99">
        <v>18.25275816413232</v>
      </c>
      <c r="I99">
        <v>1.57</v>
      </c>
      <c r="J99">
        <v>1.5</v>
      </c>
      <c r="K99">
        <v>0.78</v>
      </c>
      <c r="L99">
        <v>0.4</v>
      </c>
      <c r="M99">
        <v>10</v>
      </c>
      <c r="N99">
        <v>135</v>
      </c>
      <c r="Q99">
        <v>0.77570188977525756</v>
      </c>
      <c r="R99">
        <v>2919725.6187367002</v>
      </c>
      <c r="S99">
        <v>-4.524591806099606E-3</v>
      </c>
      <c r="T99">
        <v>1250.244632367107</v>
      </c>
      <c r="U99">
        <v>1067.1062039509341</v>
      </c>
      <c r="V99">
        <v>276.6027947714839</v>
      </c>
      <c r="W99">
        <v>3.8579010195198</v>
      </c>
      <c r="X99" t="s">
        <v>57</v>
      </c>
      <c r="Z99">
        <v>829.80799999999999</v>
      </c>
      <c r="AA99">
        <v>95.163399999999996</v>
      </c>
      <c r="AB99">
        <v>51.296399999999998</v>
      </c>
      <c r="AC99">
        <v>14.881896635393071</v>
      </c>
      <c r="AD99">
        <v>75.746965213535589</v>
      </c>
      <c r="AE99">
        <v>75.746965213535589</v>
      </c>
      <c r="AF99" t="s">
        <v>58</v>
      </c>
      <c r="AG99" t="b">
        <v>1</v>
      </c>
      <c r="AH99">
        <v>5.0898730900595917</v>
      </c>
      <c r="AI99">
        <v>826.351</v>
      </c>
      <c r="AJ99">
        <v>91.310100000000006</v>
      </c>
      <c r="AK99">
        <v>51.757599999999996</v>
      </c>
      <c r="AL99">
        <v>14.625497222923499</v>
      </c>
      <c r="AM99">
        <v>75.292287194264091</v>
      </c>
      <c r="AN99">
        <v>75.292287194264091</v>
      </c>
      <c r="AO99" t="s">
        <v>58</v>
      </c>
      <c r="AP99" t="b">
        <v>1</v>
      </c>
      <c r="AQ99">
        <v>5.1480155543876869</v>
      </c>
      <c r="AR99">
        <v>829.80799999999999</v>
      </c>
      <c r="AS99">
        <v>75.746965213535589</v>
      </c>
      <c r="AT99">
        <v>5.1480155543876869</v>
      </c>
      <c r="AU99" s="5">
        <v>56.582983014511086</v>
      </c>
      <c r="AV99" s="5">
        <v>80.822011882842475</v>
      </c>
      <c r="AW99" s="5">
        <v>3.845567619127602</v>
      </c>
      <c r="AX99" s="5">
        <v>5.492932596531662</v>
      </c>
      <c r="AY99" t="s">
        <v>59</v>
      </c>
      <c r="AZ99" t="s">
        <v>60</v>
      </c>
      <c r="BA99" s="23">
        <f t="shared" si="1"/>
        <v>0</v>
      </c>
      <c r="BB99" s="23">
        <f>IF(AND(ISNUMBER(H99),Metadata!$H$5&gt;Metadata!$G$5),MAX(Metadata!$G$5-H99,0,H99-Metadata!$H$5)/(Metadata!$H$5-Metadata!$G$5),"Missing input")</f>
        <v>0</v>
      </c>
      <c r="BC99" s="23">
        <f>IF(AND(ISNUMBER(L99),Metadata!$H$8&gt;Metadata!$G$8),MAX(Metadata!$G$8-L99,0,L99-Metadata!$H$8)/(Metadata!$H$8-Metadata!$G$8),"Missing input")</f>
        <v>0</v>
      </c>
    </row>
    <row r="100" spans="1:55" x14ac:dyDescent="0.2">
      <c r="A100" t="s">
        <v>167</v>
      </c>
      <c r="B100" t="s">
        <v>149</v>
      </c>
      <c r="C100" t="s">
        <v>84</v>
      </c>
      <c r="D100" t="s">
        <v>55</v>
      </c>
      <c r="E100" t="s">
        <v>56</v>
      </c>
      <c r="F100">
        <v>19</v>
      </c>
      <c r="G100">
        <v>21.707483118551171</v>
      </c>
      <c r="H100">
        <v>43.497365085878002</v>
      </c>
      <c r="I100">
        <v>1.57</v>
      </c>
      <c r="J100">
        <v>1.5</v>
      </c>
      <c r="K100">
        <v>0.78</v>
      </c>
      <c r="L100">
        <v>0.4</v>
      </c>
      <c r="M100">
        <v>10</v>
      </c>
      <c r="N100">
        <v>135</v>
      </c>
      <c r="Q100">
        <v>0.77570188977525756</v>
      </c>
      <c r="R100">
        <v>2786376.2799094608</v>
      </c>
      <c r="S100">
        <v>-6.1101642908949344E-3</v>
      </c>
      <c r="T100">
        <v>1327.844178866673</v>
      </c>
      <c r="U100">
        <v>932.5608993046402</v>
      </c>
      <c r="V100">
        <v>293.77083603244972</v>
      </c>
      <c r="W100">
        <v>3.174450234405263</v>
      </c>
      <c r="X100" t="s">
        <v>57</v>
      </c>
      <c r="Z100">
        <v>564.99800000000005</v>
      </c>
      <c r="AA100">
        <v>95.163399999999996</v>
      </c>
      <c r="AB100">
        <v>30.757200000000001</v>
      </c>
      <c r="AC100">
        <v>14.209883631557551</v>
      </c>
      <c r="AD100">
        <v>34.020896679290118</v>
      </c>
      <c r="AE100">
        <v>34.020896679290118</v>
      </c>
      <c r="AF100" t="s">
        <v>58</v>
      </c>
      <c r="AG100" t="b">
        <v>1</v>
      </c>
      <c r="AH100">
        <v>2.3941713782747631</v>
      </c>
      <c r="AI100">
        <v>571.10199999999998</v>
      </c>
      <c r="AJ100">
        <v>91.310100000000006</v>
      </c>
      <c r="AK100">
        <v>31.6463</v>
      </c>
      <c r="AL100">
        <v>13.78969882556131</v>
      </c>
      <c r="AM100">
        <v>33.059536810237347</v>
      </c>
      <c r="AN100">
        <v>33.059536810237347</v>
      </c>
      <c r="AO100" t="s">
        <v>58</v>
      </c>
      <c r="AP100" t="b">
        <v>1</v>
      </c>
      <c r="AQ100">
        <v>2.397408183343094</v>
      </c>
      <c r="AR100">
        <v>571.10199999999998</v>
      </c>
      <c r="AS100">
        <v>34.020896679290118</v>
      </c>
      <c r="AT100">
        <v>2.397408183343094</v>
      </c>
      <c r="AU100" s="5">
        <v>25.41360981942972</v>
      </c>
      <c r="AV100" s="5">
        <v>36.300296756802553</v>
      </c>
      <c r="AW100" s="5">
        <v>1.7908639129572912</v>
      </c>
      <c r="AX100" s="5">
        <v>2.5580345316270812</v>
      </c>
      <c r="AY100" t="s">
        <v>64</v>
      </c>
      <c r="AZ100" t="s">
        <v>7</v>
      </c>
      <c r="BA100" s="23">
        <f t="shared" si="1"/>
        <v>9.4596678167087334E-2</v>
      </c>
      <c r="BB100" s="23">
        <f>IF(AND(ISNUMBER(H100),Metadata!$H$5&gt;Metadata!$G$5),MAX(Metadata!$G$5-H100,0,H100-Metadata!$H$5)/(Metadata!$H$5-Metadata!$G$5),"Missing input")</f>
        <v>9.4596678167087334E-2</v>
      </c>
      <c r="BC100" s="23">
        <f>IF(AND(ISNUMBER(L100),Metadata!$H$8&gt;Metadata!$G$8),MAX(Metadata!$G$8-L100,0,L100-Metadata!$H$8)/(Metadata!$H$8-Metadata!$G$8),"Missing input")</f>
        <v>0</v>
      </c>
    </row>
    <row r="101" spans="1:55" x14ac:dyDescent="0.2">
      <c r="A101" t="s">
        <v>168</v>
      </c>
      <c r="B101" t="s">
        <v>149</v>
      </c>
      <c r="C101" t="s">
        <v>84</v>
      </c>
      <c r="D101" t="s">
        <v>55</v>
      </c>
      <c r="E101" t="s">
        <v>56</v>
      </c>
      <c r="F101">
        <v>20</v>
      </c>
      <c r="G101">
        <v>53.035991243371583</v>
      </c>
      <c r="H101">
        <v>30.34654288470276</v>
      </c>
      <c r="I101">
        <v>1.57</v>
      </c>
      <c r="J101">
        <v>1.5</v>
      </c>
      <c r="K101">
        <v>0.78</v>
      </c>
      <c r="L101">
        <v>0.4</v>
      </c>
      <c r="M101">
        <v>10</v>
      </c>
      <c r="N101">
        <v>135</v>
      </c>
      <c r="Q101">
        <v>0.77570188977525756</v>
      </c>
      <c r="R101">
        <v>4782098.2730990862</v>
      </c>
      <c r="S101">
        <v>-5.8020266353036908E-3</v>
      </c>
      <c r="T101">
        <v>2064.392118408005</v>
      </c>
      <c r="U101">
        <v>1063.2633345267759</v>
      </c>
      <c r="V101">
        <v>456.72392000177121</v>
      </c>
      <c r="W101">
        <v>2.32802200183133</v>
      </c>
      <c r="X101" t="s">
        <v>57</v>
      </c>
      <c r="Z101">
        <v>1001.67</v>
      </c>
      <c r="AA101">
        <v>95.163399999999996</v>
      </c>
      <c r="AB101">
        <v>39.531300000000002</v>
      </c>
      <c r="AC101">
        <v>15.195959710258419</v>
      </c>
      <c r="AD101">
        <v>45.007324654365348</v>
      </c>
      <c r="AE101">
        <v>45.007324654365348</v>
      </c>
      <c r="AF101" t="s">
        <v>58</v>
      </c>
      <c r="AG101" t="b">
        <v>1</v>
      </c>
      <c r="AH101">
        <v>2.961795471462195</v>
      </c>
      <c r="AI101">
        <v>1003.66</v>
      </c>
      <c r="AJ101">
        <v>91.310100000000006</v>
      </c>
      <c r="AK101">
        <v>39.358900000000013</v>
      </c>
      <c r="AL101">
        <v>14.86572840592147</v>
      </c>
      <c r="AM101">
        <v>44.334806333967101</v>
      </c>
      <c r="AN101">
        <v>44.334806333967101</v>
      </c>
      <c r="AO101" t="s">
        <v>58</v>
      </c>
      <c r="AP101" t="b">
        <v>1</v>
      </c>
      <c r="AQ101">
        <v>2.982350082240651</v>
      </c>
      <c r="AR101">
        <v>1003.66</v>
      </c>
      <c r="AS101">
        <v>45.007324654365348</v>
      </c>
      <c r="AT101">
        <v>2.982350082240651</v>
      </c>
      <c r="AU101" s="5">
        <v>33.620471516810916</v>
      </c>
      <c r="AV101" s="5">
        <v>48.022815406207826</v>
      </c>
      <c r="AW101" s="5">
        <v>2.2278155114337661</v>
      </c>
      <c r="AX101" s="5">
        <v>3.1821675377507743</v>
      </c>
      <c r="AY101" t="s">
        <v>59</v>
      </c>
      <c r="AZ101" t="s">
        <v>60</v>
      </c>
      <c r="BA101" s="23">
        <f t="shared" si="1"/>
        <v>0</v>
      </c>
      <c r="BB101" s="23">
        <f>IF(AND(ISNUMBER(H101),Metadata!$H$5&gt;Metadata!$G$5),MAX(Metadata!$G$5-H101,0,H101-Metadata!$H$5)/(Metadata!$H$5-Metadata!$G$5),"Missing input")</f>
        <v>0</v>
      </c>
      <c r="BC101" s="23">
        <f>IF(AND(ISNUMBER(L101),Metadata!$H$8&gt;Metadata!$G$8),MAX(Metadata!$G$8-L101,0,L101-Metadata!$H$8)/(Metadata!$H$8-Metadata!$G$8),"Missing input")</f>
        <v>0</v>
      </c>
    </row>
    <row r="102" spans="1:55" x14ac:dyDescent="0.2">
      <c r="A102" t="s">
        <v>169</v>
      </c>
      <c r="B102" t="s">
        <v>170</v>
      </c>
      <c r="C102" t="s">
        <v>84</v>
      </c>
      <c r="D102" t="s">
        <v>55</v>
      </c>
      <c r="E102" t="s">
        <v>56</v>
      </c>
      <c r="F102">
        <v>1</v>
      </c>
      <c r="G102">
        <v>22.11413992487228</v>
      </c>
      <c r="H102">
        <v>28.832065765515338</v>
      </c>
      <c r="I102">
        <v>1.57</v>
      </c>
      <c r="J102">
        <v>1.5</v>
      </c>
      <c r="K102">
        <v>0.95</v>
      </c>
      <c r="L102">
        <v>0.55000000000000004</v>
      </c>
      <c r="M102">
        <v>10</v>
      </c>
      <c r="N102">
        <v>110</v>
      </c>
      <c r="Q102">
        <v>0.95199777381508888</v>
      </c>
      <c r="R102">
        <v>1866510.334985178</v>
      </c>
      <c r="S102">
        <v>-6.3527139881731668E-3</v>
      </c>
      <c r="T102">
        <v>931.93139645531812</v>
      </c>
      <c r="U102">
        <v>1197.3898340278081</v>
      </c>
      <c r="V102">
        <v>206.1795124901146</v>
      </c>
      <c r="W102">
        <v>5.8075112292508582</v>
      </c>
      <c r="X102" t="s">
        <v>57</v>
      </c>
      <c r="Z102">
        <v>555.07799999999997</v>
      </c>
      <c r="AA102">
        <v>95.163399999999996</v>
      </c>
      <c r="AB102">
        <v>41.921900000000001</v>
      </c>
      <c r="AC102">
        <v>16.7260255730659</v>
      </c>
      <c r="AD102">
        <v>50.970590710808168</v>
      </c>
      <c r="AE102">
        <v>50.970590710808168</v>
      </c>
      <c r="AF102" t="s">
        <v>58</v>
      </c>
      <c r="AG102" t="b">
        <v>1</v>
      </c>
      <c r="AH102">
        <v>3.047382086566139</v>
      </c>
      <c r="AI102">
        <v>553.00400000000002</v>
      </c>
      <c r="AJ102">
        <v>91.310100000000006</v>
      </c>
      <c r="AK102">
        <v>39.358900000000013</v>
      </c>
      <c r="AL102">
        <v>16.357665268065269</v>
      </c>
      <c r="AM102">
        <v>51.358547979675777</v>
      </c>
      <c r="AN102">
        <v>51.358547979675777</v>
      </c>
      <c r="AO102" t="s">
        <v>58</v>
      </c>
      <c r="AP102" t="b">
        <v>1</v>
      </c>
      <c r="AQ102">
        <v>3.1397236181340622</v>
      </c>
      <c r="AR102">
        <v>555.07799999999997</v>
      </c>
      <c r="AS102">
        <v>51.358547979675777</v>
      </c>
      <c r="AT102">
        <v>3.1397236181340622</v>
      </c>
      <c r="AU102" s="5">
        <v>38.364835340817805</v>
      </c>
      <c r="AV102" s="5">
        <v>54.799570694314049</v>
      </c>
      <c r="AW102" s="5">
        <v>2.3453735427461444</v>
      </c>
      <c r="AX102" s="5">
        <v>3.3500851005490442</v>
      </c>
      <c r="AY102" t="s">
        <v>59</v>
      </c>
      <c r="AZ102" t="s">
        <v>60</v>
      </c>
      <c r="BA102" s="23">
        <f t="shared" si="1"/>
        <v>0</v>
      </c>
      <c r="BB102" s="23">
        <f>IF(AND(ISNUMBER(H102),Metadata!$H$5&gt;Metadata!$G$5),MAX(Metadata!$G$5-H102,0,H102-Metadata!$H$5)/(Metadata!$H$5-Metadata!$G$5),"Missing input")</f>
        <v>0</v>
      </c>
      <c r="BC102" s="23">
        <f>IF(AND(ISNUMBER(L102),Metadata!$H$8&gt;Metadata!$G$8),MAX(Metadata!$G$8-L102,0,L102-Metadata!$H$8)/(Metadata!$H$8-Metadata!$G$8),"Missing input")</f>
        <v>0</v>
      </c>
    </row>
    <row r="103" spans="1:55" x14ac:dyDescent="0.2">
      <c r="A103" t="s">
        <v>171</v>
      </c>
      <c r="B103" t="s">
        <v>170</v>
      </c>
      <c r="C103" t="s">
        <v>84</v>
      </c>
      <c r="D103" t="s">
        <v>55</v>
      </c>
      <c r="E103" t="s">
        <v>56</v>
      </c>
      <c r="F103">
        <v>2</v>
      </c>
      <c r="G103">
        <v>39.289372610104301</v>
      </c>
      <c r="H103">
        <v>11.43599740060767</v>
      </c>
      <c r="I103">
        <v>1.57</v>
      </c>
      <c r="J103">
        <v>1.5</v>
      </c>
      <c r="K103">
        <v>0.95</v>
      </c>
      <c r="L103">
        <v>0.55000000000000004</v>
      </c>
      <c r="M103">
        <v>10</v>
      </c>
      <c r="N103">
        <v>110</v>
      </c>
      <c r="Q103">
        <v>0.95199777381508888</v>
      </c>
      <c r="R103">
        <v>1301660.814121977</v>
      </c>
      <c r="S103">
        <v>-3.7482735285428682E-3</v>
      </c>
      <c r="T103">
        <v>682.24591859950192</v>
      </c>
      <c r="U103">
        <v>1275.387058585799</v>
      </c>
      <c r="V103">
        <v>150.93936252201371</v>
      </c>
      <c r="W103">
        <v>8.4496650659948997</v>
      </c>
      <c r="X103" t="s">
        <v>57</v>
      </c>
      <c r="Z103">
        <v>573.54999999999995</v>
      </c>
      <c r="AA103">
        <v>95.163399999999996</v>
      </c>
      <c r="AB103">
        <v>62.849600000000002</v>
      </c>
      <c r="AC103">
        <v>16.025321346399661</v>
      </c>
      <c r="AE103">
        <v>95.163399999999996</v>
      </c>
      <c r="AF103" t="s">
        <v>62</v>
      </c>
      <c r="AG103" t="b">
        <v>0</v>
      </c>
      <c r="AH103">
        <v>5.9383146174089019</v>
      </c>
      <c r="AI103">
        <v>569.904</v>
      </c>
      <c r="AJ103">
        <v>91.310100000000006</v>
      </c>
      <c r="AK103">
        <v>62.662199999999999</v>
      </c>
      <c r="AL103">
        <v>15.57745514049587</v>
      </c>
      <c r="AN103">
        <v>91.310100000000006</v>
      </c>
      <c r="AO103" t="s">
        <v>62</v>
      </c>
      <c r="AP103" t="b">
        <v>0</v>
      </c>
      <c r="AQ103">
        <v>5.861682744482831</v>
      </c>
      <c r="AR103">
        <v>573.54999999999995</v>
      </c>
      <c r="AS103">
        <v>95.163399999999996</v>
      </c>
      <c r="AT103">
        <v>5.9383146174089019</v>
      </c>
      <c r="AU103" s="5">
        <v>71.087059799999992</v>
      </c>
      <c r="AV103" s="5">
        <v>101.53934779999999</v>
      </c>
      <c r="AW103" s="5">
        <v>4.43592101920445</v>
      </c>
      <c r="AX103" s="5">
        <v>6.3361816967752977</v>
      </c>
      <c r="AY103" t="s">
        <v>59</v>
      </c>
      <c r="AZ103" t="s">
        <v>60</v>
      </c>
      <c r="BA103" s="23">
        <f t="shared" si="1"/>
        <v>0</v>
      </c>
      <c r="BB103" s="23">
        <f>IF(AND(ISNUMBER(H103),Metadata!$H$5&gt;Metadata!$G$5),MAX(Metadata!$G$5-H103,0,H103-Metadata!$H$5)/(Metadata!$H$5-Metadata!$G$5),"Missing input")</f>
        <v>0</v>
      </c>
      <c r="BC103" s="23">
        <f>IF(AND(ISNUMBER(L103),Metadata!$H$8&gt;Metadata!$G$8),MAX(Metadata!$G$8-L103,0,L103-Metadata!$H$8)/(Metadata!$H$8-Metadata!$G$8),"Missing input")</f>
        <v>0</v>
      </c>
    </row>
    <row r="104" spans="1:55" x14ac:dyDescent="0.2">
      <c r="A104" t="s">
        <v>172</v>
      </c>
      <c r="B104" t="s">
        <v>170</v>
      </c>
      <c r="C104" t="s">
        <v>84</v>
      </c>
      <c r="D104" t="s">
        <v>55</v>
      </c>
      <c r="E104" t="s">
        <v>56</v>
      </c>
      <c r="F104">
        <v>3</v>
      </c>
      <c r="G104">
        <v>50.720967279676117</v>
      </c>
      <c r="H104">
        <v>41.572102032205443</v>
      </c>
      <c r="I104">
        <v>1.57</v>
      </c>
      <c r="J104">
        <v>1.5</v>
      </c>
      <c r="K104">
        <v>0.95</v>
      </c>
      <c r="L104">
        <v>0.55000000000000004</v>
      </c>
      <c r="M104">
        <v>10</v>
      </c>
      <c r="N104">
        <v>110</v>
      </c>
      <c r="Q104">
        <v>0.95199777381508888</v>
      </c>
      <c r="R104">
        <v>6279453.0057685468</v>
      </c>
      <c r="S104">
        <v>-6.9700350849089222E-3</v>
      </c>
      <c r="T104">
        <v>2795.5189136654449</v>
      </c>
      <c r="U104">
        <v>1317.921143815053</v>
      </c>
      <c r="V104">
        <v>618.47763576669149</v>
      </c>
      <c r="W104">
        <v>2.1309115602560169</v>
      </c>
      <c r="X104" t="s">
        <v>57</v>
      </c>
      <c r="Z104">
        <v>1038.49</v>
      </c>
      <c r="AA104">
        <v>95.163399999999996</v>
      </c>
      <c r="AB104">
        <v>33.779499999999999</v>
      </c>
      <c r="AC104">
        <v>15.18983695652174</v>
      </c>
      <c r="AD104">
        <v>36.431704067595561</v>
      </c>
      <c r="AE104">
        <v>36.431704067595561</v>
      </c>
      <c r="AF104" t="s">
        <v>58</v>
      </c>
      <c r="AG104" t="b">
        <v>1</v>
      </c>
      <c r="AH104">
        <v>2.3984262748754288</v>
      </c>
      <c r="AI104">
        <v>1033.58</v>
      </c>
      <c r="AJ104">
        <v>91.310100000000006</v>
      </c>
      <c r="AK104">
        <v>32.289299999999997</v>
      </c>
      <c r="AL104">
        <v>14.11537373315619</v>
      </c>
      <c r="AM104">
        <v>35.832082372881359</v>
      </c>
      <c r="AN104">
        <v>35.832082372881359</v>
      </c>
      <c r="AO104" t="s">
        <v>58</v>
      </c>
      <c r="AP104" t="b">
        <v>1</v>
      </c>
      <c r="AQ104">
        <v>2.5385146047329861</v>
      </c>
      <c r="AR104">
        <v>1038.49</v>
      </c>
      <c r="AS104">
        <v>36.431704067595561</v>
      </c>
      <c r="AT104">
        <v>2.5385146047329861</v>
      </c>
      <c r="AU104" s="5">
        <v>27.214482938493884</v>
      </c>
      <c r="AV104" s="5">
        <v>38.872628240124463</v>
      </c>
      <c r="AW104" s="5">
        <v>1.8962704097355405</v>
      </c>
      <c r="AX104" s="5">
        <v>2.708595083250096</v>
      </c>
      <c r="AY104" t="s">
        <v>64</v>
      </c>
      <c r="AZ104" t="s">
        <v>7</v>
      </c>
      <c r="BA104" s="23">
        <f t="shared" si="1"/>
        <v>4.6063612035701466E-2</v>
      </c>
      <c r="BB104" s="23">
        <f>IF(AND(ISNUMBER(H104),Metadata!$H$5&gt;Metadata!$G$5),MAX(Metadata!$G$5-H104,0,H104-Metadata!$H$5)/(Metadata!$H$5-Metadata!$G$5),"Missing input")</f>
        <v>4.6063612035701466E-2</v>
      </c>
      <c r="BC104" s="23">
        <f>IF(AND(ISNUMBER(L104),Metadata!$H$8&gt;Metadata!$G$8),MAX(Metadata!$G$8-L104,0,L104-Metadata!$H$8)/(Metadata!$H$8-Metadata!$G$8),"Missing input")</f>
        <v>0</v>
      </c>
    </row>
    <row r="105" spans="1:55" x14ac:dyDescent="0.2">
      <c r="A105" t="s">
        <v>173</v>
      </c>
      <c r="B105" t="s">
        <v>170</v>
      </c>
      <c r="C105" t="s">
        <v>84</v>
      </c>
      <c r="D105" t="s">
        <v>55</v>
      </c>
      <c r="E105" t="s">
        <v>56</v>
      </c>
      <c r="F105">
        <v>4</v>
      </c>
      <c r="G105">
        <v>40.065365059576777</v>
      </c>
      <c r="H105">
        <v>25.23064360495534</v>
      </c>
      <c r="I105">
        <v>1.57</v>
      </c>
      <c r="J105">
        <v>1.5</v>
      </c>
      <c r="K105">
        <v>0.95</v>
      </c>
      <c r="L105">
        <v>0.55000000000000004</v>
      </c>
      <c r="M105">
        <v>10</v>
      </c>
      <c r="N105">
        <v>110</v>
      </c>
      <c r="Q105">
        <v>0.95199777381508888</v>
      </c>
      <c r="R105">
        <v>2986346.165161836</v>
      </c>
      <c r="S105">
        <v>-5.960597873149058E-3</v>
      </c>
      <c r="T105">
        <v>1323.2635029237761</v>
      </c>
      <c r="U105">
        <v>1278.4558810016979</v>
      </c>
      <c r="V105">
        <v>292.75741215127789</v>
      </c>
      <c r="W105">
        <v>4.3669462426491039</v>
      </c>
      <c r="X105" t="s">
        <v>57</v>
      </c>
      <c r="Z105">
        <v>783.822</v>
      </c>
      <c r="AA105">
        <v>95.163399999999996</v>
      </c>
      <c r="AB105">
        <v>44.910200000000003</v>
      </c>
      <c r="AC105">
        <v>16.140150213827511</v>
      </c>
      <c r="AD105">
        <v>56.779727215733352</v>
      </c>
      <c r="AE105">
        <v>56.779727215733352</v>
      </c>
      <c r="AF105" t="s">
        <v>58</v>
      </c>
      <c r="AG105" t="b">
        <v>1</v>
      </c>
      <c r="AH105">
        <v>3.517918139763613</v>
      </c>
      <c r="AI105">
        <v>780.69100000000003</v>
      </c>
      <c r="AJ105">
        <v>91.310100000000006</v>
      </c>
      <c r="AK105">
        <v>46.604900000000001</v>
      </c>
      <c r="AL105">
        <v>15.806709578627281</v>
      </c>
      <c r="AM105">
        <v>56.498942342333827</v>
      </c>
      <c r="AN105">
        <v>56.498942342333827</v>
      </c>
      <c r="AO105" t="s">
        <v>58</v>
      </c>
      <c r="AP105" t="b">
        <v>1</v>
      </c>
      <c r="AQ105">
        <v>3.5743645482503021</v>
      </c>
      <c r="AR105">
        <v>783.822</v>
      </c>
      <c r="AS105">
        <v>56.779727215733352</v>
      </c>
      <c r="AT105">
        <v>3.5743645482503021</v>
      </c>
      <c r="AU105" s="5">
        <v>42.414456230152815</v>
      </c>
      <c r="AV105" s="5">
        <v>60.583968939187486</v>
      </c>
      <c r="AW105" s="5">
        <v>2.6700503175429757</v>
      </c>
      <c r="AX105" s="5">
        <v>3.8138469729830722</v>
      </c>
      <c r="AY105" t="s">
        <v>59</v>
      </c>
      <c r="AZ105" t="s">
        <v>60</v>
      </c>
      <c r="BA105" s="23">
        <f t="shared" si="1"/>
        <v>0</v>
      </c>
      <c r="BB105" s="23">
        <f>IF(AND(ISNUMBER(H105),Metadata!$H$5&gt;Metadata!$G$5),MAX(Metadata!$G$5-H105,0,H105-Metadata!$H$5)/(Metadata!$H$5-Metadata!$G$5),"Missing input")</f>
        <v>0</v>
      </c>
      <c r="BC105" s="23">
        <f>IF(AND(ISNUMBER(L105),Metadata!$H$8&gt;Metadata!$G$8),MAX(Metadata!$G$8-L105,0,L105-Metadata!$H$8)/(Metadata!$H$8-Metadata!$G$8),"Missing input")</f>
        <v>0</v>
      </c>
    </row>
    <row r="106" spans="1:55" x14ac:dyDescent="0.2">
      <c r="A106" t="s">
        <v>174</v>
      </c>
      <c r="B106" t="s">
        <v>170</v>
      </c>
      <c r="C106" t="s">
        <v>84</v>
      </c>
      <c r="D106" t="s">
        <v>55</v>
      </c>
      <c r="E106" t="s">
        <v>56</v>
      </c>
      <c r="F106">
        <v>5</v>
      </c>
      <c r="G106">
        <v>44.691650234033148</v>
      </c>
      <c r="H106">
        <v>35.278860063057749</v>
      </c>
      <c r="I106">
        <v>1.57</v>
      </c>
      <c r="J106">
        <v>1.5</v>
      </c>
      <c r="K106">
        <v>0.95</v>
      </c>
      <c r="L106">
        <v>0.55000000000000004</v>
      </c>
      <c r="M106">
        <v>10</v>
      </c>
      <c r="N106">
        <v>110</v>
      </c>
      <c r="Q106">
        <v>0.95199777381508888</v>
      </c>
      <c r="R106">
        <v>4683732.748780732</v>
      </c>
      <c r="S106">
        <v>-6.8059909212694622E-3</v>
      </c>
      <c r="T106">
        <v>2061.9786008310161</v>
      </c>
      <c r="U106">
        <v>1296.1652053125761</v>
      </c>
      <c r="V106">
        <v>456.18995593606547</v>
      </c>
      <c r="W106">
        <v>2.8412839617499861</v>
      </c>
      <c r="X106" t="s">
        <v>57</v>
      </c>
      <c r="Z106">
        <v>925.01400000000001</v>
      </c>
      <c r="AA106">
        <v>95.163399999999996</v>
      </c>
      <c r="AB106">
        <v>37.809100000000001</v>
      </c>
      <c r="AC106">
        <v>15.566469498725571</v>
      </c>
      <c r="AD106">
        <v>42.087216791601612</v>
      </c>
      <c r="AE106">
        <v>42.087216791601612</v>
      </c>
      <c r="AF106" t="s">
        <v>58</v>
      </c>
      <c r="AG106" t="b">
        <v>1</v>
      </c>
      <c r="AH106">
        <v>2.7037098421737382</v>
      </c>
      <c r="AI106">
        <v>922.51300000000003</v>
      </c>
      <c r="AJ106">
        <v>91.310100000000006</v>
      </c>
      <c r="AK106">
        <v>37.789400000000001</v>
      </c>
      <c r="AL106">
        <v>14.964845526932089</v>
      </c>
      <c r="AM106">
        <v>40.608896074295821</v>
      </c>
      <c r="AN106">
        <v>40.608896074295821</v>
      </c>
      <c r="AO106" t="s">
        <v>58</v>
      </c>
      <c r="AP106" t="b">
        <v>1</v>
      </c>
      <c r="AQ106">
        <v>2.7136194624403158</v>
      </c>
      <c r="AR106">
        <v>925.01400000000001</v>
      </c>
      <c r="AS106">
        <v>42.087216791601612</v>
      </c>
      <c r="AT106">
        <v>2.7136194624403158</v>
      </c>
      <c r="AU106" s="5">
        <v>31.439150943326403</v>
      </c>
      <c r="AV106" s="5">
        <v>44.907060316638919</v>
      </c>
      <c r="AW106" s="5">
        <v>2.0270737384429158</v>
      </c>
      <c r="AX106" s="5">
        <v>2.8954319664238168</v>
      </c>
      <c r="AY106" t="s">
        <v>59</v>
      </c>
      <c r="AZ106" t="s">
        <v>60</v>
      </c>
      <c r="BA106" s="23">
        <f t="shared" si="1"/>
        <v>0</v>
      </c>
      <c r="BB106" s="23">
        <f>IF(AND(ISNUMBER(H106),Metadata!$H$5&gt;Metadata!$G$5),MAX(Metadata!$G$5-H106,0,H106-Metadata!$H$5)/(Metadata!$H$5-Metadata!$G$5),"Missing input")</f>
        <v>0</v>
      </c>
      <c r="BC106" s="23">
        <f>IF(AND(ISNUMBER(L106),Metadata!$H$8&gt;Metadata!$G$8),MAX(Metadata!$G$8-L106,0,L106-Metadata!$H$8)/(Metadata!$H$8-Metadata!$G$8),"Missing input")</f>
        <v>0</v>
      </c>
    </row>
    <row r="107" spans="1:55" x14ac:dyDescent="0.2">
      <c r="A107" t="s">
        <v>175</v>
      </c>
      <c r="B107" t="s">
        <v>170</v>
      </c>
      <c r="C107" t="s">
        <v>84</v>
      </c>
      <c r="D107" t="s">
        <v>55</v>
      </c>
      <c r="E107" t="s">
        <v>56</v>
      </c>
      <c r="F107">
        <v>6</v>
      </c>
      <c r="G107">
        <v>33.086500490231572</v>
      </c>
      <c r="H107">
        <v>19.79580616436397</v>
      </c>
      <c r="I107">
        <v>1.57</v>
      </c>
      <c r="J107">
        <v>1.5</v>
      </c>
      <c r="K107">
        <v>0.95</v>
      </c>
      <c r="L107">
        <v>0.55000000000000004</v>
      </c>
      <c r="M107">
        <v>10</v>
      </c>
      <c r="N107">
        <v>110</v>
      </c>
      <c r="Q107">
        <v>0.95199777381508888</v>
      </c>
      <c r="R107">
        <v>1918643.176085273</v>
      </c>
      <c r="S107">
        <v>-5.1901967931909654E-3</v>
      </c>
      <c r="T107">
        <v>915.0391797947683</v>
      </c>
      <c r="U107">
        <v>1249.6776985627559</v>
      </c>
      <c r="V107">
        <v>202.44229641477179</v>
      </c>
      <c r="W107">
        <v>6.1730069293541634</v>
      </c>
      <c r="X107" t="s">
        <v>57</v>
      </c>
      <c r="Z107">
        <v>638.85</v>
      </c>
      <c r="AA107">
        <v>95.163399999999996</v>
      </c>
      <c r="AB107">
        <v>51.296399999999998</v>
      </c>
      <c r="AC107">
        <v>16.569847284482758</v>
      </c>
      <c r="AD107">
        <v>72.156293322475562</v>
      </c>
      <c r="AE107">
        <v>72.156293322475562</v>
      </c>
      <c r="AF107" t="s">
        <v>58</v>
      </c>
      <c r="AG107" t="b">
        <v>1</v>
      </c>
      <c r="AH107">
        <v>4.3546746136911043</v>
      </c>
      <c r="AI107">
        <v>633.04200000000003</v>
      </c>
      <c r="AJ107">
        <v>91.310100000000006</v>
      </c>
      <c r="AK107">
        <v>51.757599999999996</v>
      </c>
      <c r="AL107">
        <v>16.023846138347889</v>
      </c>
      <c r="AM107">
        <v>72.234185452861624</v>
      </c>
      <c r="AN107">
        <v>72.234185452861624</v>
      </c>
      <c r="AO107" t="s">
        <v>58</v>
      </c>
      <c r="AP107" t="b">
        <v>1</v>
      </c>
      <c r="AQ107">
        <v>4.5079180634412408</v>
      </c>
      <c r="AR107">
        <v>638.85</v>
      </c>
      <c r="AS107">
        <v>72.234185452861624</v>
      </c>
      <c r="AT107">
        <v>4.5079180634412408</v>
      </c>
      <c r="AU107" s="5">
        <v>53.958936533287634</v>
      </c>
      <c r="AV107" s="5">
        <v>77.073875878203353</v>
      </c>
      <c r="AW107" s="5">
        <v>3.3674147933906067</v>
      </c>
      <c r="AX107" s="5">
        <v>4.8099485736918037</v>
      </c>
      <c r="AY107" t="s">
        <v>59</v>
      </c>
      <c r="AZ107" t="s">
        <v>60</v>
      </c>
      <c r="BA107" s="23">
        <f t="shared" si="1"/>
        <v>0</v>
      </c>
      <c r="BB107" s="23">
        <f>IF(AND(ISNUMBER(H107),Metadata!$H$5&gt;Metadata!$G$5),MAX(Metadata!$G$5-H107,0,H107-Metadata!$H$5)/(Metadata!$H$5-Metadata!$G$5),"Missing input")</f>
        <v>0</v>
      </c>
      <c r="BC107" s="23">
        <f>IF(AND(ISNUMBER(L107),Metadata!$H$8&gt;Metadata!$G$8),MAX(Metadata!$G$8-L107,0,L107-Metadata!$H$8)/(Metadata!$H$8-Metadata!$G$8),"Missing input")</f>
        <v>0</v>
      </c>
    </row>
    <row r="108" spans="1:55" x14ac:dyDescent="0.2">
      <c r="A108" t="s">
        <v>176</v>
      </c>
      <c r="B108" t="s">
        <v>170</v>
      </c>
      <c r="C108" t="s">
        <v>84</v>
      </c>
      <c r="D108" t="s">
        <v>55</v>
      </c>
      <c r="E108" t="s">
        <v>56</v>
      </c>
      <c r="F108">
        <v>7</v>
      </c>
      <c r="G108">
        <v>42.943727860216583</v>
      </c>
      <c r="H108">
        <v>31.604415760045629</v>
      </c>
      <c r="I108">
        <v>1.57</v>
      </c>
      <c r="J108">
        <v>1.5</v>
      </c>
      <c r="K108">
        <v>0.95</v>
      </c>
      <c r="L108">
        <v>0.55000000000000004</v>
      </c>
      <c r="M108">
        <v>10</v>
      </c>
      <c r="N108">
        <v>110</v>
      </c>
      <c r="Q108">
        <v>0.95199777381508888</v>
      </c>
      <c r="R108">
        <v>4025355.613741619</v>
      </c>
      <c r="S108">
        <v>-6.585867754699372E-3</v>
      </c>
      <c r="T108">
        <v>1767.125197942283</v>
      </c>
      <c r="U108">
        <v>1289.58711987796</v>
      </c>
      <c r="V108">
        <v>390.95690219962017</v>
      </c>
      <c r="W108">
        <v>3.298540357319244</v>
      </c>
      <c r="X108" t="s">
        <v>57</v>
      </c>
      <c r="Z108">
        <v>875.87199999999996</v>
      </c>
      <c r="AA108">
        <v>95.163399999999996</v>
      </c>
      <c r="AB108">
        <v>40.726599999999998</v>
      </c>
      <c r="AC108">
        <v>15.732660279937789</v>
      </c>
      <c r="AD108">
        <v>45.701335262058493</v>
      </c>
      <c r="AE108">
        <v>45.701335262058493</v>
      </c>
      <c r="AF108" t="s">
        <v>58</v>
      </c>
      <c r="AG108" t="b">
        <v>1</v>
      </c>
      <c r="AH108">
        <v>2.904870152210469</v>
      </c>
      <c r="AI108">
        <v>874.44500000000005</v>
      </c>
      <c r="AJ108">
        <v>91.310100000000006</v>
      </c>
      <c r="AK108">
        <v>39.358900000000013</v>
      </c>
      <c r="AL108">
        <v>15.29863901839718</v>
      </c>
      <c r="AM108">
        <v>46.115414962090178</v>
      </c>
      <c r="AN108">
        <v>46.115414962090178</v>
      </c>
      <c r="AO108" t="s">
        <v>58</v>
      </c>
      <c r="AP108" t="b">
        <v>1</v>
      </c>
      <c r="AQ108">
        <v>3.0143475446825501</v>
      </c>
      <c r="AR108">
        <v>875.87199999999996</v>
      </c>
      <c r="AS108">
        <v>46.115414962090178</v>
      </c>
      <c r="AT108">
        <v>3.0143475446825501</v>
      </c>
      <c r="AU108" s="5">
        <v>34.448214976681363</v>
      </c>
      <c r="AV108" s="5">
        <v>49.205147764550219</v>
      </c>
      <c r="AW108" s="5">
        <v>2.2517176158778649</v>
      </c>
      <c r="AX108" s="5">
        <v>3.2163088301762808</v>
      </c>
      <c r="AY108" t="s">
        <v>59</v>
      </c>
      <c r="AZ108" t="s">
        <v>60</v>
      </c>
      <c r="BA108" s="23">
        <f t="shared" si="1"/>
        <v>0</v>
      </c>
      <c r="BB108" s="23">
        <f>IF(AND(ISNUMBER(H108),Metadata!$H$5&gt;Metadata!$G$5),MAX(Metadata!$G$5-H108,0,H108-Metadata!$H$5)/(Metadata!$H$5-Metadata!$G$5),"Missing input")</f>
        <v>0</v>
      </c>
      <c r="BC108" s="23">
        <f>IF(AND(ISNUMBER(L108),Metadata!$H$8&gt;Metadata!$G$8),MAX(Metadata!$G$8-L108,0,L108-Metadata!$H$8)/(Metadata!$H$8-Metadata!$G$8),"Missing input")</f>
        <v>0</v>
      </c>
    </row>
    <row r="109" spans="1:55" x14ac:dyDescent="0.2">
      <c r="A109" t="s">
        <v>177</v>
      </c>
      <c r="B109" t="s">
        <v>170</v>
      </c>
      <c r="C109" t="s">
        <v>84</v>
      </c>
      <c r="D109" t="s">
        <v>55</v>
      </c>
      <c r="E109" t="s">
        <v>56</v>
      </c>
      <c r="F109">
        <v>8</v>
      </c>
      <c r="G109">
        <v>29.155454969686971</v>
      </c>
      <c r="H109">
        <v>7.3398505058277053</v>
      </c>
      <c r="I109">
        <v>1.57</v>
      </c>
      <c r="J109">
        <v>1.5</v>
      </c>
      <c r="K109">
        <v>0.95</v>
      </c>
      <c r="L109">
        <v>0.55000000000000004</v>
      </c>
      <c r="M109">
        <v>10</v>
      </c>
      <c r="N109">
        <v>110</v>
      </c>
      <c r="Q109">
        <v>0.95199777381508888</v>
      </c>
      <c r="R109">
        <v>595711.36772068124</v>
      </c>
      <c r="S109">
        <v>-3.043380530167842E-3</v>
      </c>
      <c r="T109">
        <v>480.50831710260849</v>
      </c>
      <c r="U109">
        <v>1232.1155022579389</v>
      </c>
      <c r="V109">
        <v>106.3071498014621</v>
      </c>
      <c r="W109">
        <v>11.590147083794671</v>
      </c>
      <c r="X109" t="s">
        <v>57</v>
      </c>
      <c r="Z109">
        <v>436.19099999999997</v>
      </c>
      <c r="AA109">
        <v>95.163399999999996</v>
      </c>
      <c r="AB109">
        <v>51.296399999999998</v>
      </c>
      <c r="AC109">
        <v>16.763278748047881</v>
      </c>
      <c r="AE109">
        <v>95.163399999999996</v>
      </c>
      <c r="AF109" t="s">
        <v>62</v>
      </c>
      <c r="AG109" t="b">
        <v>0</v>
      </c>
      <c r="AH109">
        <v>5.6768965922661137</v>
      </c>
      <c r="AI109">
        <v>431.60599999999999</v>
      </c>
      <c r="AJ109">
        <v>91.310100000000006</v>
      </c>
      <c r="AK109">
        <v>64.811499999999995</v>
      </c>
      <c r="AL109">
        <v>16.120221370309949</v>
      </c>
      <c r="AN109">
        <v>91.310100000000006</v>
      </c>
      <c r="AO109" t="s">
        <v>62</v>
      </c>
      <c r="AP109" t="b">
        <v>0</v>
      </c>
      <c r="AQ109">
        <v>5.6643204768995261</v>
      </c>
      <c r="AR109">
        <v>436.19099999999997</v>
      </c>
      <c r="AS109">
        <v>95.163399999999996</v>
      </c>
      <c r="AT109">
        <v>5.6768965922661137</v>
      </c>
      <c r="AU109" s="5">
        <v>71.087059799999992</v>
      </c>
      <c r="AV109" s="5">
        <v>101.53934779999999</v>
      </c>
      <c r="AW109" s="5">
        <v>4.2406417544227866</v>
      </c>
      <c r="AX109" s="5">
        <v>6.0572486639479433</v>
      </c>
      <c r="AY109" t="s">
        <v>59</v>
      </c>
      <c r="AZ109" t="s">
        <v>60</v>
      </c>
      <c r="BA109" s="23">
        <f t="shared" si="1"/>
        <v>0</v>
      </c>
      <c r="BB109" s="23">
        <f>IF(AND(ISNUMBER(H109),Metadata!$H$5&gt;Metadata!$G$5),MAX(Metadata!$G$5-H109,0,H109-Metadata!$H$5)/(Metadata!$H$5-Metadata!$G$5),"Missing input")</f>
        <v>0</v>
      </c>
      <c r="BC109" s="23">
        <f>IF(AND(ISNUMBER(L109),Metadata!$H$8&gt;Metadata!$G$8),MAX(Metadata!$G$8-L109,0,L109-Metadata!$H$8)/(Metadata!$H$8-Metadata!$G$8),"Missing input")</f>
        <v>0</v>
      </c>
    </row>
    <row r="110" spans="1:55" x14ac:dyDescent="0.2">
      <c r="A110" t="s">
        <v>178</v>
      </c>
      <c r="B110" t="s">
        <v>170</v>
      </c>
      <c r="C110" t="s">
        <v>84</v>
      </c>
      <c r="D110" t="s">
        <v>55</v>
      </c>
      <c r="E110" t="s">
        <v>56</v>
      </c>
      <c r="F110">
        <v>9</v>
      </c>
      <c r="G110">
        <v>59.748609235827082</v>
      </c>
      <c r="H110">
        <v>37.783512331141722</v>
      </c>
      <c r="I110">
        <v>1.57</v>
      </c>
      <c r="J110">
        <v>1.5</v>
      </c>
      <c r="K110">
        <v>0.95</v>
      </c>
      <c r="L110">
        <v>0.55000000000000004</v>
      </c>
      <c r="M110">
        <v>10</v>
      </c>
      <c r="N110">
        <v>110</v>
      </c>
      <c r="Q110">
        <v>0.95199777381508888</v>
      </c>
      <c r="R110">
        <v>6726258.2664913209</v>
      </c>
      <c r="S110">
        <v>-6.9017158434719799E-3</v>
      </c>
      <c r="T110">
        <v>2958.9793454838732</v>
      </c>
      <c r="U110">
        <v>1348.2050530200161</v>
      </c>
      <c r="V110">
        <v>654.64144811590108</v>
      </c>
      <c r="W110">
        <v>2.0594556866208729</v>
      </c>
      <c r="X110" t="s">
        <v>57</v>
      </c>
      <c r="Z110">
        <v>1171.3699999999999</v>
      </c>
      <c r="AA110">
        <v>95.163399999999996</v>
      </c>
      <c r="AB110">
        <v>36.549900000000001</v>
      </c>
      <c r="AC110">
        <v>15.740953540680151</v>
      </c>
      <c r="AD110">
        <v>38.468644695661858</v>
      </c>
      <c r="AE110">
        <v>38.468644695661858</v>
      </c>
      <c r="AF110" t="s">
        <v>58</v>
      </c>
      <c r="AG110" t="b">
        <v>1</v>
      </c>
      <c r="AH110">
        <v>2.4438573302592741</v>
      </c>
      <c r="AI110">
        <v>1166.99</v>
      </c>
      <c r="AJ110">
        <v>91.310100000000006</v>
      </c>
      <c r="AK110">
        <v>36.219900000000003</v>
      </c>
      <c r="AL110">
        <v>14.919615330979701</v>
      </c>
      <c r="AM110">
        <v>39.216107999608461</v>
      </c>
      <c r="AN110">
        <v>39.216107999608461</v>
      </c>
      <c r="AO110" t="s">
        <v>58</v>
      </c>
      <c r="AP110" t="b">
        <v>1</v>
      </c>
      <c r="AQ110">
        <v>2.6284932372337049</v>
      </c>
      <c r="AR110">
        <v>1171.3699999999999</v>
      </c>
      <c r="AS110">
        <v>39.216107999608461</v>
      </c>
      <c r="AT110">
        <v>2.6284932372337049</v>
      </c>
      <c r="AU110" s="5">
        <v>29.294432675707519</v>
      </c>
      <c r="AV110" s="5">
        <v>41.843587235582227</v>
      </c>
      <c r="AW110" s="5">
        <v>1.9634844482135776</v>
      </c>
      <c r="AX110" s="5">
        <v>2.8046022841283631</v>
      </c>
      <c r="AY110" t="s">
        <v>59</v>
      </c>
      <c r="AZ110" t="s">
        <v>60</v>
      </c>
      <c r="BA110" s="23">
        <f t="shared" si="1"/>
        <v>0</v>
      </c>
      <c r="BB110" s="23">
        <f>IF(AND(ISNUMBER(H110),Metadata!$H$5&gt;Metadata!$G$5),MAX(Metadata!$G$5-H110,0,H110-Metadata!$H$5)/(Metadata!$H$5-Metadata!$G$5),"Missing input")</f>
        <v>0</v>
      </c>
      <c r="BC110" s="23">
        <f>IF(AND(ISNUMBER(L110),Metadata!$H$8&gt;Metadata!$G$8),MAX(Metadata!$G$8-L110,0,L110-Metadata!$H$8)/(Metadata!$H$8-Metadata!$G$8),"Missing input")</f>
        <v>0</v>
      </c>
    </row>
    <row r="111" spans="1:55" x14ac:dyDescent="0.2">
      <c r="A111" t="s">
        <v>179</v>
      </c>
      <c r="B111" t="s">
        <v>170</v>
      </c>
      <c r="C111" t="s">
        <v>84</v>
      </c>
      <c r="D111" t="s">
        <v>55</v>
      </c>
      <c r="E111" t="s">
        <v>56</v>
      </c>
      <c r="F111">
        <v>10</v>
      </c>
      <c r="G111">
        <v>34.746337553007109</v>
      </c>
      <c r="H111">
        <v>23.7414613202046</v>
      </c>
      <c r="I111">
        <v>1.57</v>
      </c>
      <c r="J111">
        <v>1.5</v>
      </c>
      <c r="K111">
        <v>0.95</v>
      </c>
      <c r="L111">
        <v>0.55000000000000004</v>
      </c>
      <c r="M111">
        <v>10</v>
      </c>
      <c r="N111">
        <v>110</v>
      </c>
      <c r="Q111">
        <v>0.95199777381508888</v>
      </c>
      <c r="R111">
        <v>2428507.8121004719</v>
      </c>
      <c r="S111">
        <v>-5.7695682510749413E-3</v>
      </c>
      <c r="T111">
        <v>1111.217336052197</v>
      </c>
      <c r="U111">
        <v>1256.77794588752</v>
      </c>
      <c r="V111">
        <v>245.84454337438001</v>
      </c>
      <c r="W111">
        <v>5.1120839561350699</v>
      </c>
      <c r="X111" t="s">
        <v>57</v>
      </c>
      <c r="Z111">
        <v>698.54200000000003</v>
      </c>
      <c r="AA111">
        <v>95.163399999999996</v>
      </c>
      <c r="AB111">
        <v>47.540999999999997</v>
      </c>
      <c r="AC111">
        <v>16.333066765402851</v>
      </c>
      <c r="AD111">
        <v>60.529650703092948</v>
      </c>
      <c r="AE111">
        <v>60.529650703092948</v>
      </c>
      <c r="AF111" t="s">
        <v>58</v>
      </c>
      <c r="AG111" t="b">
        <v>1</v>
      </c>
      <c r="AH111">
        <v>3.7059574648472342</v>
      </c>
      <c r="AI111">
        <v>695.41399999999999</v>
      </c>
      <c r="AJ111">
        <v>91.310100000000006</v>
      </c>
      <c r="AK111">
        <v>47.635399999999997</v>
      </c>
      <c r="AL111">
        <v>15.984355525391249</v>
      </c>
      <c r="AM111">
        <v>60.260532910088088</v>
      </c>
      <c r="AN111">
        <v>60.260532910088088</v>
      </c>
      <c r="AO111" t="s">
        <v>58</v>
      </c>
      <c r="AP111" t="b">
        <v>1</v>
      </c>
      <c r="AQ111">
        <v>3.7699695063941641</v>
      </c>
      <c r="AR111">
        <v>698.54200000000003</v>
      </c>
      <c r="AS111">
        <v>60.529650703092948</v>
      </c>
      <c r="AT111">
        <v>3.7699695063941641</v>
      </c>
      <c r="AU111" s="5">
        <v>45.215649075210429</v>
      </c>
      <c r="AV111" s="5">
        <v>64.585137300200174</v>
      </c>
      <c r="AW111" s="5">
        <v>2.8161672212764404</v>
      </c>
      <c r="AX111" s="5">
        <v>4.0225574633225731</v>
      </c>
      <c r="AY111" t="s">
        <v>59</v>
      </c>
      <c r="AZ111" t="s">
        <v>60</v>
      </c>
      <c r="BA111" s="23">
        <f t="shared" si="1"/>
        <v>0</v>
      </c>
      <c r="BB111" s="23">
        <f>IF(AND(ISNUMBER(H111),Metadata!$H$5&gt;Metadata!$G$5),MAX(Metadata!$G$5-H111,0,H111-Metadata!$H$5)/(Metadata!$H$5-Metadata!$G$5),"Missing input")</f>
        <v>0</v>
      </c>
      <c r="BC111" s="23">
        <f>IF(AND(ISNUMBER(L111),Metadata!$H$8&gt;Metadata!$G$8),MAX(Metadata!$G$8-L111,0,L111-Metadata!$H$8)/(Metadata!$H$8-Metadata!$G$8),"Missing input")</f>
        <v>0</v>
      </c>
    </row>
    <row r="112" spans="1:55" x14ac:dyDescent="0.2">
      <c r="A112" t="s">
        <v>180</v>
      </c>
      <c r="B112" t="s">
        <v>170</v>
      </c>
      <c r="C112" t="s">
        <v>84</v>
      </c>
      <c r="D112" t="s">
        <v>55</v>
      </c>
      <c r="E112" t="s">
        <v>56</v>
      </c>
      <c r="F112">
        <v>11</v>
      </c>
      <c r="G112">
        <v>24.502161634428251</v>
      </c>
      <c r="H112">
        <v>33.048591474592847</v>
      </c>
      <c r="I112">
        <v>1.57</v>
      </c>
      <c r="J112">
        <v>1.5</v>
      </c>
      <c r="K112">
        <v>0.95</v>
      </c>
      <c r="L112">
        <v>0.55000000000000004</v>
      </c>
      <c r="M112">
        <v>10</v>
      </c>
      <c r="N112">
        <v>110</v>
      </c>
      <c r="Q112">
        <v>0.95199777381508888</v>
      </c>
      <c r="R112">
        <v>2383007.1153019848</v>
      </c>
      <c r="S112">
        <v>-6.6841414415706414E-3</v>
      </c>
      <c r="T112">
        <v>1134.971999997148</v>
      </c>
      <c r="U112">
        <v>1209.7154168867321</v>
      </c>
      <c r="V112">
        <v>251.099999999369</v>
      </c>
      <c r="W112">
        <v>4.8176639461958262</v>
      </c>
      <c r="X112" t="s">
        <v>57</v>
      </c>
      <c r="Z112">
        <v>604.78599999999994</v>
      </c>
      <c r="AA112">
        <v>95.163399999999996</v>
      </c>
      <c r="AB112">
        <v>37.809100000000001</v>
      </c>
      <c r="AC112">
        <v>16.121316710526312</v>
      </c>
      <c r="AD112">
        <v>45.06249659946748</v>
      </c>
      <c r="AE112">
        <v>45.06249659946748</v>
      </c>
      <c r="AF112" t="s">
        <v>58</v>
      </c>
      <c r="AG112" t="b">
        <v>1</v>
      </c>
      <c r="AH112">
        <v>2.795211917773702</v>
      </c>
      <c r="AI112">
        <v>604.45100000000002</v>
      </c>
      <c r="AJ112">
        <v>91.310100000000006</v>
      </c>
      <c r="AK112">
        <v>39.0974</v>
      </c>
      <c r="AL112">
        <v>15.7626259542672</v>
      </c>
      <c r="AM112">
        <v>44.157482258571868</v>
      </c>
      <c r="AN112">
        <v>44.157482258571868</v>
      </c>
      <c r="AO112" t="s">
        <v>58</v>
      </c>
      <c r="AP112" t="b">
        <v>1</v>
      </c>
      <c r="AQ112">
        <v>2.8014039276633178</v>
      </c>
      <c r="AR112">
        <v>604.78599999999994</v>
      </c>
      <c r="AS112">
        <v>45.06249659946748</v>
      </c>
      <c r="AT112">
        <v>2.8014039276633178</v>
      </c>
      <c r="AU112" s="5">
        <v>33.661684959802209</v>
      </c>
      <c r="AV112" s="5">
        <v>48.081683871631796</v>
      </c>
      <c r="AW112" s="5">
        <v>2.0926487339644986</v>
      </c>
      <c r="AX112" s="5">
        <v>2.9890979908167599</v>
      </c>
      <c r="AY112" t="s">
        <v>59</v>
      </c>
      <c r="AZ112" t="s">
        <v>60</v>
      </c>
      <c r="BA112" s="23">
        <f t="shared" si="1"/>
        <v>0</v>
      </c>
      <c r="BB112" s="23">
        <f>IF(AND(ISNUMBER(H112),Metadata!$H$5&gt;Metadata!$G$5),MAX(Metadata!$G$5-H112,0,H112-Metadata!$H$5)/(Metadata!$H$5-Metadata!$G$5),"Missing input")</f>
        <v>0</v>
      </c>
      <c r="BC112" s="23">
        <f>IF(AND(ISNUMBER(L112),Metadata!$H$8&gt;Metadata!$G$8),MAX(Metadata!$G$8-L112,0,L112-Metadata!$H$8)/(Metadata!$H$8-Metadata!$G$8),"Missing input")</f>
        <v>0</v>
      </c>
    </row>
    <row r="113" spans="1:55" x14ac:dyDescent="0.2">
      <c r="A113" t="s">
        <v>181</v>
      </c>
      <c r="B113" t="s">
        <v>170</v>
      </c>
      <c r="C113" t="s">
        <v>84</v>
      </c>
      <c r="D113" t="s">
        <v>55</v>
      </c>
      <c r="E113" t="s">
        <v>56</v>
      </c>
      <c r="F113">
        <v>12</v>
      </c>
      <c r="G113">
        <v>56.241153781572699</v>
      </c>
      <c r="H113">
        <v>14.78764467513273</v>
      </c>
      <c r="I113">
        <v>1.57</v>
      </c>
      <c r="J113">
        <v>1.5</v>
      </c>
      <c r="K113">
        <v>0.95</v>
      </c>
      <c r="L113">
        <v>0.55000000000000004</v>
      </c>
      <c r="M113">
        <v>10</v>
      </c>
      <c r="N113">
        <v>110</v>
      </c>
      <c r="Q113">
        <v>0.95199777381508888</v>
      </c>
      <c r="R113">
        <v>2448743.9197241841</v>
      </c>
      <c r="S113">
        <v>-4.3429876065400096E-3</v>
      </c>
      <c r="T113">
        <v>1060.8343060705299</v>
      </c>
      <c r="U113">
        <v>1336.7307188857189</v>
      </c>
      <c r="V113">
        <v>234.69785532533859</v>
      </c>
      <c r="W113">
        <v>5.6955387045729076</v>
      </c>
      <c r="X113" t="s">
        <v>57</v>
      </c>
      <c r="Z113">
        <v>785.798</v>
      </c>
      <c r="AA113">
        <v>95.156199999999998</v>
      </c>
      <c r="AB113">
        <v>61.979799999999997</v>
      </c>
      <c r="AC113">
        <v>15.204986372915959</v>
      </c>
      <c r="AE113">
        <v>95.156199999999998</v>
      </c>
      <c r="AF113" t="s">
        <v>62</v>
      </c>
      <c r="AG113" t="b">
        <v>0</v>
      </c>
      <c r="AH113">
        <v>6.2582233003179777</v>
      </c>
      <c r="AI113">
        <v>775.77</v>
      </c>
      <c r="AJ113">
        <v>81.630300000000005</v>
      </c>
      <c r="AK113">
        <v>39.358900000000013</v>
      </c>
      <c r="AL113">
        <v>14.57463329801325</v>
      </c>
      <c r="AM113">
        <v>39.495246137191472</v>
      </c>
      <c r="AN113">
        <v>39.495246137191472</v>
      </c>
      <c r="AO113" t="s">
        <v>58</v>
      </c>
      <c r="AP113" t="b">
        <v>1</v>
      </c>
      <c r="AQ113">
        <v>2.7098620822642099</v>
      </c>
      <c r="AR113">
        <v>785.798</v>
      </c>
      <c r="AS113">
        <v>95.156199999999998</v>
      </c>
      <c r="AT113">
        <v>6.2582233003179777</v>
      </c>
      <c r="AU113" s="5">
        <v>71.081681399999994</v>
      </c>
      <c r="AV113" s="5">
        <v>101.53166539999999</v>
      </c>
      <c r="AW113" s="5">
        <v>4.6748928053375289</v>
      </c>
      <c r="AX113" s="5">
        <v>6.6775242614392818</v>
      </c>
      <c r="AY113" t="s">
        <v>59</v>
      </c>
      <c r="AZ113" t="s">
        <v>60</v>
      </c>
      <c r="BA113" s="23">
        <f t="shared" si="1"/>
        <v>0</v>
      </c>
      <c r="BB113" s="23">
        <f>IF(AND(ISNUMBER(H113),Metadata!$H$5&gt;Metadata!$G$5),MAX(Metadata!$G$5-H113,0,H113-Metadata!$H$5)/(Metadata!$H$5-Metadata!$G$5),"Missing input")</f>
        <v>0</v>
      </c>
      <c r="BC113" s="23">
        <f>IF(AND(ISNUMBER(L113),Metadata!$H$8&gt;Metadata!$G$8),MAX(Metadata!$G$8-L113,0,L113-Metadata!$H$8)/(Metadata!$H$8-Metadata!$G$8),"Missing input")</f>
        <v>0</v>
      </c>
    </row>
    <row r="114" spans="1:55" x14ac:dyDescent="0.2">
      <c r="A114" t="s">
        <v>182</v>
      </c>
      <c r="B114" t="s">
        <v>170</v>
      </c>
      <c r="C114" t="s">
        <v>84</v>
      </c>
      <c r="D114" t="s">
        <v>55</v>
      </c>
      <c r="E114" t="s">
        <v>56</v>
      </c>
      <c r="F114">
        <v>13</v>
      </c>
      <c r="G114">
        <v>49.119901382435643</v>
      </c>
      <c r="H114">
        <v>22.54933477691009</v>
      </c>
      <c r="I114">
        <v>1.57</v>
      </c>
      <c r="J114">
        <v>1.5</v>
      </c>
      <c r="K114">
        <v>0.95</v>
      </c>
      <c r="L114">
        <v>0.55000000000000004</v>
      </c>
      <c r="M114">
        <v>10</v>
      </c>
      <c r="N114">
        <v>110</v>
      </c>
      <c r="Q114">
        <v>0.95199777381508888</v>
      </c>
      <c r="R114">
        <v>3276584.6264440492</v>
      </c>
      <c r="S114">
        <v>-5.6051647493157277E-3</v>
      </c>
      <c r="T114">
        <v>1412.968799359719</v>
      </c>
      <c r="U114">
        <v>1312.276136690162</v>
      </c>
      <c r="V114">
        <v>312.60371667250428</v>
      </c>
      <c r="W114">
        <v>4.1978903854970886</v>
      </c>
      <c r="X114" t="s">
        <v>57</v>
      </c>
      <c r="Z114">
        <v>870.21400000000006</v>
      </c>
      <c r="AA114">
        <v>95.163399999999996</v>
      </c>
      <c r="AB114">
        <v>49.930799999999998</v>
      </c>
      <c r="AC114">
        <v>16.110567157343802</v>
      </c>
      <c r="AD114">
        <v>64.157131715742452</v>
      </c>
      <c r="AE114">
        <v>64.157131715742452</v>
      </c>
      <c r="AF114" t="s">
        <v>58</v>
      </c>
      <c r="AG114" t="b">
        <v>1</v>
      </c>
      <c r="AH114">
        <v>3.9823012491833492</v>
      </c>
      <c r="AI114">
        <v>865.07100000000003</v>
      </c>
      <c r="AJ114">
        <v>91.310100000000006</v>
      </c>
      <c r="AK114">
        <v>50.04</v>
      </c>
      <c r="AL114">
        <v>15.761348366310861</v>
      </c>
      <c r="AM114">
        <v>63.881531654723133</v>
      </c>
      <c r="AN114">
        <v>63.881531654723133</v>
      </c>
      <c r="AO114" t="s">
        <v>58</v>
      </c>
      <c r="AP114" t="b">
        <v>1</v>
      </c>
      <c r="AQ114">
        <v>4.0530499148960448</v>
      </c>
      <c r="AR114">
        <v>870.21400000000006</v>
      </c>
      <c r="AS114">
        <v>64.157131715742452</v>
      </c>
      <c r="AT114">
        <v>4.0530499148960448</v>
      </c>
      <c r="AU114" s="5">
        <v>47.925377391659609</v>
      </c>
      <c r="AV114" s="5">
        <v>68.455659540697198</v>
      </c>
      <c r="AW114" s="5">
        <v>3.0276282864273454</v>
      </c>
      <c r="AX114" s="5">
        <v>4.3246042591940794</v>
      </c>
      <c r="AY114" t="s">
        <v>59</v>
      </c>
      <c r="AZ114" t="s">
        <v>60</v>
      </c>
      <c r="BA114" s="23">
        <f t="shared" si="1"/>
        <v>0</v>
      </c>
      <c r="BB114" s="23">
        <f>IF(AND(ISNUMBER(H114),Metadata!$H$5&gt;Metadata!$G$5),MAX(Metadata!$G$5-H114,0,H114-Metadata!$H$5)/(Metadata!$H$5-Metadata!$G$5),"Missing input")</f>
        <v>0</v>
      </c>
      <c r="BC114" s="23">
        <f>IF(AND(ISNUMBER(L114),Metadata!$H$8&gt;Metadata!$G$8),MAX(Metadata!$G$8-L114,0,L114-Metadata!$H$8)/(Metadata!$H$8-Metadata!$G$8),"Missing input")</f>
        <v>0</v>
      </c>
    </row>
    <row r="115" spans="1:55" x14ac:dyDescent="0.2">
      <c r="A115" t="s">
        <v>183</v>
      </c>
      <c r="B115" t="s">
        <v>170</v>
      </c>
      <c r="C115" t="s">
        <v>84</v>
      </c>
      <c r="D115" t="s">
        <v>55</v>
      </c>
      <c r="E115" t="s">
        <v>56</v>
      </c>
      <c r="F115">
        <v>14</v>
      </c>
      <c r="G115">
        <v>37.958866376576751</v>
      </c>
      <c r="H115">
        <v>9.8264864335603903</v>
      </c>
      <c r="I115">
        <v>1.57</v>
      </c>
      <c r="J115">
        <v>1.5</v>
      </c>
      <c r="K115">
        <v>0.95</v>
      </c>
      <c r="L115">
        <v>0.55000000000000004</v>
      </c>
      <c r="M115">
        <v>10</v>
      </c>
      <c r="N115">
        <v>110</v>
      </c>
      <c r="Q115">
        <v>0.95199777381508888</v>
      </c>
      <c r="R115">
        <v>1072728.181448289</v>
      </c>
      <c r="S115">
        <v>-3.465795041000377E-3</v>
      </c>
      <c r="T115">
        <v>610.81355109044614</v>
      </c>
      <c r="U115">
        <v>1270.053903324708</v>
      </c>
      <c r="V115">
        <v>135.13574139169171</v>
      </c>
      <c r="W115">
        <v>9.3983567207690051</v>
      </c>
      <c r="X115" t="s">
        <v>57</v>
      </c>
      <c r="Z115">
        <v>535.39300000000003</v>
      </c>
      <c r="AA115">
        <v>95.163399999999996</v>
      </c>
      <c r="AB115">
        <v>65.006200000000007</v>
      </c>
      <c r="AC115">
        <v>16.193664786119601</v>
      </c>
      <c r="AE115">
        <v>95.163399999999996</v>
      </c>
      <c r="AF115" t="s">
        <v>62</v>
      </c>
      <c r="AG115" t="b">
        <v>0</v>
      </c>
      <c r="AH115">
        <v>5.8765820619906428</v>
      </c>
      <c r="AI115">
        <v>531.69200000000001</v>
      </c>
      <c r="AJ115">
        <v>78.596000000000004</v>
      </c>
      <c r="AK115">
        <v>64.811499999999995</v>
      </c>
      <c r="AL115">
        <v>15.72908899020601</v>
      </c>
      <c r="AN115">
        <v>78.596000000000004</v>
      </c>
      <c r="AO115" t="s">
        <v>62</v>
      </c>
      <c r="AP115" t="b">
        <v>0</v>
      </c>
      <c r="AQ115">
        <v>4.996856464410568</v>
      </c>
      <c r="AR115">
        <v>535.39300000000003</v>
      </c>
      <c r="AS115">
        <v>95.163399999999996</v>
      </c>
      <c r="AT115">
        <v>5.8765820619906428</v>
      </c>
      <c r="AU115" s="5">
        <v>71.087059799999992</v>
      </c>
      <c r="AV115" s="5">
        <v>101.53934779999999</v>
      </c>
      <c r="AW115" s="5">
        <v>4.3898068003070101</v>
      </c>
      <c r="AX115" s="5">
        <v>6.2703130601440158</v>
      </c>
      <c r="AY115" t="s">
        <v>59</v>
      </c>
      <c r="AZ115" t="s">
        <v>60</v>
      </c>
      <c r="BA115" s="23">
        <f t="shared" si="1"/>
        <v>0</v>
      </c>
      <c r="BB115" s="23">
        <f>IF(AND(ISNUMBER(H115),Metadata!$H$5&gt;Metadata!$G$5),MAX(Metadata!$G$5-H115,0,H115-Metadata!$H$5)/(Metadata!$H$5-Metadata!$G$5),"Missing input")</f>
        <v>0</v>
      </c>
      <c r="BC115" s="23">
        <f>IF(AND(ISNUMBER(L115),Metadata!$H$8&gt;Metadata!$G$8),MAX(Metadata!$G$8-L115,0,L115-Metadata!$H$8)/(Metadata!$H$8-Metadata!$G$8),"Missing input")</f>
        <v>0</v>
      </c>
    </row>
    <row r="116" spans="1:55" x14ac:dyDescent="0.2">
      <c r="A116" t="s">
        <v>184</v>
      </c>
      <c r="B116" t="s">
        <v>170</v>
      </c>
      <c r="C116" t="s">
        <v>84</v>
      </c>
      <c r="D116" t="s">
        <v>55</v>
      </c>
      <c r="E116" t="s">
        <v>56</v>
      </c>
      <c r="F116">
        <v>15</v>
      </c>
      <c r="G116">
        <v>27.308053040943211</v>
      </c>
      <c r="H116">
        <v>5.2772178758296739</v>
      </c>
      <c r="I116">
        <v>1.57</v>
      </c>
      <c r="J116">
        <v>1.5</v>
      </c>
      <c r="K116">
        <v>0.95</v>
      </c>
      <c r="L116">
        <v>0.55000000000000004</v>
      </c>
      <c r="M116">
        <v>10</v>
      </c>
      <c r="N116">
        <v>110</v>
      </c>
      <c r="Q116">
        <v>0.95199777381508888</v>
      </c>
      <c r="R116">
        <v>386052.96198531118</v>
      </c>
      <c r="S116">
        <v>-2.7125866292399201E-3</v>
      </c>
      <c r="T116">
        <v>428.52672237905682</v>
      </c>
      <c r="U116">
        <v>1223.453244497797</v>
      </c>
      <c r="V116">
        <v>94.806796986516986</v>
      </c>
      <c r="W116">
        <v>12.90469969860696</v>
      </c>
      <c r="X116" t="s">
        <v>57</v>
      </c>
      <c r="Z116">
        <v>396.31799999999998</v>
      </c>
      <c r="AA116">
        <v>95.163399999999996</v>
      </c>
      <c r="AB116">
        <v>51.296399999999998</v>
      </c>
      <c r="AC116">
        <v>17.20480786458333</v>
      </c>
      <c r="AE116">
        <v>95.163399999999996</v>
      </c>
      <c r="AF116" t="s">
        <v>62</v>
      </c>
      <c r="AG116" t="b">
        <v>0</v>
      </c>
      <c r="AH116">
        <v>5.5312096914431121</v>
      </c>
      <c r="AI116">
        <v>392.911</v>
      </c>
      <c r="AJ116">
        <v>91.310100000000006</v>
      </c>
      <c r="AK116">
        <v>32.289299999999997</v>
      </c>
      <c r="AL116">
        <v>16.700779797270169</v>
      </c>
      <c r="AN116">
        <v>91.310100000000006</v>
      </c>
      <c r="AO116" t="s">
        <v>62</v>
      </c>
      <c r="AP116" t="b">
        <v>0</v>
      </c>
      <c r="AQ116">
        <v>5.4674153607441198</v>
      </c>
      <c r="AR116">
        <v>396.31799999999998</v>
      </c>
      <c r="AS116">
        <v>95.163399999999996</v>
      </c>
      <c r="AT116">
        <v>5.5312096914431121</v>
      </c>
      <c r="AU116" s="5">
        <v>71.087059799999992</v>
      </c>
      <c r="AV116" s="5">
        <v>101.53934779999999</v>
      </c>
      <c r="AW116" s="5">
        <v>4.131813639508005</v>
      </c>
      <c r="AX116" s="5">
        <v>5.9018007407698008</v>
      </c>
      <c r="AY116" t="s">
        <v>59</v>
      </c>
      <c r="AZ116" t="s">
        <v>60</v>
      </c>
      <c r="BA116" s="23">
        <f t="shared" si="1"/>
        <v>0</v>
      </c>
      <c r="BB116" s="23">
        <f>IF(AND(ISNUMBER(H116),Metadata!$H$5&gt;Metadata!$G$5),MAX(Metadata!$G$5-H116,0,H116-Metadata!$H$5)/(Metadata!$H$5-Metadata!$G$5),"Missing input")</f>
        <v>0</v>
      </c>
      <c r="BC116" s="23">
        <f>IF(AND(ISNUMBER(L116),Metadata!$H$8&gt;Metadata!$G$8),MAX(Metadata!$G$8-L116,0,L116-Metadata!$H$8)/(Metadata!$H$8-Metadata!$G$8),"Missing input")</f>
        <v>0</v>
      </c>
    </row>
    <row r="117" spans="1:55" x14ac:dyDescent="0.2">
      <c r="A117" t="s">
        <v>185</v>
      </c>
      <c r="B117" t="s">
        <v>170</v>
      </c>
      <c r="C117" t="s">
        <v>84</v>
      </c>
      <c r="D117" t="s">
        <v>55</v>
      </c>
      <c r="E117" t="s">
        <v>56</v>
      </c>
      <c r="F117">
        <v>16</v>
      </c>
      <c r="G117">
        <v>31.1252119640606</v>
      </c>
      <c r="H117">
        <v>39.5069074866867</v>
      </c>
      <c r="I117">
        <v>1.57</v>
      </c>
      <c r="J117">
        <v>1.5</v>
      </c>
      <c r="K117">
        <v>0.95</v>
      </c>
      <c r="L117">
        <v>0.55000000000000004</v>
      </c>
      <c r="M117">
        <v>10</v>
      </c>
      <c r="N117">
        <v>110</v>
      </c>
      <c r="Q117">
        <v>0.95199777381508888</v>
      </c>
      <c r="R117">
        <v>3642703.933702969</v>
      </c>
      <c r="S117">
        <v>-6.9437664072318599E-3</v>
      </c>
      <c r="T117">
        <v>1657.5346780090949</v>
      </c>
      <c r="U117">
        <v>1241.05425894481</v>
      </c>
      <c r="V117">
        <v>366.71121194891492</v>
      </c>
      <c r="W117">
        <v>3.3842822867321991</v>
      </c>
      <c r="X117" t="s">
        <v>57</v>
      </c>
      <c r="Z117">
        <v>723.81</v>
      </c>
      <c r="AA117">
        <v>95.163399999999996</v>
      </c>
      <c r="AB117">
        <v>35.038699999999999</v>
      </c>
      <c r="AC117">
        <v>15.16662578125</v>
      </c>
      <c r="AD117">
        <v>37.972460892746433</v>
      </c>
      <c r="AE117">
        <v>37.972460892746433</v>
      </c>
      <c r="AF117" t="s">
        <v>58</v>
      </c>
      <c r="AG117" t="b">
        <v>1</v>
      </c>
      <c r="AH117">
        <v>2.503685489470608</v>
      </c>
      <c r="AI117">
        <v>717.63199999999995</v>
      </c>
      <c r="AJ117">
        <v>91.310100000000006</v>
      </c>
      <c r="AK117">
        <v>34.388800000000003</v>
      </c>
      <c r="AL117">
        <v>14.250521458625521</v>
      </c>
      <c r="AM117">
        <v>38.321181320481926</v>
      </c>
      <c r="AN117">
        <v>38.321181320481926</v>
      </c>
      <c r="AO117" t="s">
        <v>58</v>
      </c>
      <c r="AP117" t="b">
        <v>1</v>
      </c>
      <c r="AQ117">
        <v>2.6891073026164229</v>
      </c>
      <c r="AR117">
        <v>723.81</v>
      </c>
      <c r="AS117">
        <v>38.321181320481926</v>
      </c>
      <c r="AT117">
        <v>2.6891073026164229</v>
      </c>
      <c r="AU117" s="5">
        <v>28.625922446400001</v>
      </c>
      <c r="AV117" s="5">
        <v>40.888700468954212</v>
      </c>
      <c r="AW117" s="5">
        <v>2.008763155054468</v>
      </c>
      <c r="AX117" s="5">
        <v>2.8692774918917232</v>
      </c>
      <c r="AY117" t="s">
        <v>59</v>
      </c>
      <c r="AZ117" t="s">
        <v>60</v>
      </c>
      <c r="BA117" s="23">
        <f t="shared" si="1"/>
        <v>0</v>
      </c>
      <c r="BB117" s="23">
        <f>IF(AND(ISNUMBER(H117),Metadata!$H$5&gt;Metadata!$G$5),MAX(Metadata!$G$5-H117,0,H117-Metadata!$H$5)/(Metadata!$H$5-Metadata!$G$5),"Missing input")</f>
        <v>0</v>
      </c>
      <c r="BC117" s="23">
        <f>IF(AND(ISNUMBER(L117),Metadata!$H$8&gt;Metadata!$G$8),MAX(Metadata!$G$8-L117,0,L117-Metadata!$H$8)/(Metadata!$H$8-Metadata!$G$8),"Missing input")</f>
        <v>0</v>
      </c>
    </row>
    <row r="118" spans="1:55" x14ac:dyDescent="0.2">
      <c r="A118" t="s">
        <v>186</v>
      </c>
      <c r="B118" t="s">
        <v>170</v>
      </c>
      <c r="C118" t="s">
        <v>84</v>
      </c>
      <c r="D118" t="s">
        <v>55</v>
      </c>
      <c r="E118" t="s">
        <v>56</v>
      </c>
      <c r="F118">
        <v>17</v>
      </c>
      <c r="G118">
        <v>46.390186033042063</v>
      </c>
      <c r="H118">
        <v>16.21387510983789</v>
      </c>
      <c r="I118">
        <v>1.57</v>
      </c>
      <c r="J118">
        <v>1.5</v>
      </c>
      <c r="K118">
        <v>0.95</v>
      </c>
      <c r="L118">
        <v>0.55000000000000004</v>
      </c>
      <c r="M118">
        <v>10</v>
      </c>
      <c r="N118">
        <v>110</v>
      </c>
      <c r="Q118">
        <v>0.95199777381508888</v>
      </c>
      <c r="R118">
        <v>2210215.3729856689</v>
      </c>
      <c r="S118">
        <v>-4.5926261434761318E-3</v>
      </c>
      <c r="T118">
        <v>992.19235058261199</v>
      </c>
      <c r="U118">
        <v>1302.4352869923989</v>
      </c>
      <c r="V118">
        <v>219.5115819873036</v>
      </c>
      <c r="W118">
        <v>5.9333328802109913</v>
      </c>
      <c r="X118" t="s">
        <v>57</v>
      </c>
      <c r="Z118">
        <v>726.673</v>
      </c>
      <c r="AA118">
        <v>95.163399999999996</v>
      </c>
      <c r="AB118">
        <v>51.296399999999998</v>
      </c>
      <c r="AC118">
        <v>15.77049304114159</v>
      </c>
      <c r="AD118">
        <v>88.044095101502776</v>
      </c>
      <c r="AE118">
        <v>88.044095101502776</v>
      </c>
      <c r="AF118" t="s">
        <v>58</v>
      </c>
      <c r="AG118" t="b">
        <v>1</v>
      </c>
      <c r="AH118">
        <v>5.582837192966382</v>
      </c>
      <c r="AI118">
        <v>721.51900000000001</v>
      </c>
      <c r="AJ118">
        <v>91.310100000000006</v>
      </c>
      <c r="AK118">
        <v>51.757599999999996</v>
      </c>
      <c r="AL118">
        <v>15.30324333962812</v>
      </c>
      <c r="AM118">
        <v>87.987240285067273</v>
      </c>
      <c r="AN118">
        <v>87.987240285067273</v>
      </c>
      <c r="AO118" t="s">
        <v>58</v>
      </c>
      <c r="AP118" t="b">
        <v>1</v>
      </c>
      <c r="AQ118">
        <v>5.7495812052613831</v>
      </c>
      <c r="AR118">
        <v>726.673</v>
      </c>
      <c r="AS118">
        <v>88.044095101502776</v>
      </c>
      <c r="AT118">
        <v>5.7495812052613831</v>
      </c>
      <c r="AU118" s="5">
        <v>65.768939040822573</v>
      </c>
      <c r="AV118" s="5">
        <v>93.943049473303461</v>
      </c>
      <c r="AW118" s="5">
        <v>4.2949371603302531</v>
      </c>
      <c r="AX118" s="5">
        <v>6.134803146013895</v>
      </c>
      <c r="AY118" t="s">
        <v>59</v>
      </c>
      <c r="AZ118" t="s">
        <v>60</v>
      </c>
      <c r="BA118" s="23">
        <f t="shared" si="1"/>
        <v>0</v>
      </c>
      <c r="BB118" s="23">
        <f>IF(AND(ISNUMBER(H118),Metadata!$H$5&gt;Metadata!$G$5),MAX(Metadata!$G$5-H118,0,H118-Metadata!$H$5)/(Metadata!$H$5-Metadata!$G$5),"Missing input")</f>
        <v>0</v>
      </c>
      <c r="BC118" s="23">
        <f>IF(AND(ISNUMBER(L118),Metadata!$H$8&gt;Metadata!$G$8),MAX(Metadata!$G$8-L118,0,L118-Metadata!$H$8)/(Metadata!$H$8-Metadata!$G$8),"Missing input")</f>
        <v>0</v>
      </c>
    </row>
    <row r="119" spans="1:55" x14ac:dyDescent="0.2">
      <c r="A119" t="s">
        <v>187</v>
      </c>
      <c r="B119" t="s">
        <v>170</v>
      </c>
      <c r="C119" t="s">
        <v>84</v>
      </c>
      <c r="D119" t="s">
        <v>55</v>
      </c>
      <c r="E119" t="s">
        <v>56</v>
      </c>
      <c r="F119">
        <v>18</v>
      </c>
      <c r="G119">
        <v>54.165408264435399</v>
      </c>
      <c r="H119">
        <v>18.25275816413232</v>
      </c>
      <c r="I119">
        <v>1.57</v>
      </c>
      <c r="J119">
        <v>1.5</v>
      </c>
      <c r="K119">
        <v>0.95</v>
      </c>
      <c r="L119">
        <v>0.55000000000000004</v>
      </c>
      <c r="M119">
        <v>10</v>
      </c>
      <c r="N119">
        <v>110</v>
      </c>
      <c r="Q119">
        <v>0.95199777381508888</v>
      </c>
      <c r="R119">
        <v>2919725.6187367002</v>
      </c>
      <c r="S119">
        <v>-4.9393085312842153E-3</v>
      </c>
      <c r="T119">
        <v>1250.244632367107</v>
      </c>
      <c r="U119">
        <v>1329.7710054504109</v>
      </c>
      <c r="V119">
        <v>276.6027947714839</v>
      </c>
      <c r="W119">
        <v>4.8075110974529549</v>
      </c>
      <c r="X119" t="s">
        <v>57</v>
      </c>
      <c r="Z119">
        <v>848.95799999999997</v>
      </c>
      <c r="AA119">
        <v>95.163399999999996</v>
      </c>
      <c r="AB119">
        <v>51.296399999999998</v>
      </c>
      <c r="AC119">
        <v>15.676808371862609</v>
      </c>
      <c r="AD119">
        <v>77.953556035800162</v>
      </c>
      <c r="AE119">
        <v>77.953556035800162</v>
      </c>
      <c r="AF119" t="s">
        <v>58</v>
      </c>
      <c r="AG119" t="b">
        <v>1</v>
      </c>
      <c r="AH119">
        <v>4.9725399575410032</v>
      </c>
      <c r="AI119">
        <v>844.24</v>
      </c>
      <c r="AJ119">
        <v>91.310100000000006</v>
      </c>
      <c r="AK119">
        <v>51.757599999999996</v>
      </c>
      <c r="AL119">
        <v>15.36237015733815</v>
      </c>
      <c r="AM119">
        <v>78.47941280954349</v>
      </c>
      <c r="AN119">
        <v>78.47941280954349</v>
      </c>
      <c r="AO119" t="s">
        <v>58</v>
      </c>
      <c r="AP119" t="b">
        <v>1</v>
      </c>
      <c r="AQ119">
        <v>5.1085484860587211</v>
      </c>
      <c r="AR119">
        <v>848.95799999999997</v>
      </c>
      <c r="AS119">
        <v>78.47941280954349</v>
      </c>
      <c r="AT119">
        <v>5.1085484860587211</v>
      </c>
      <c r="AU119" s="5">
        <v>58.624121368728986</v>
      </c>
      <c r="AV119" s="5">
        <v>83.737533467782896</v>
      </c>
      <c r="AW119" s="5">
        <v>3.8160857190858648</v>
      </c>
      <c r="AX119" s="5">
        <v>5.4508212346246552</v>
      </c>
      <c r="AY119" t="s">
        <v>59</v>
      </c>
      <c r="AZ119" t="s">
        <v>60</v>
      </c>
      <c r="BA119" s="23">
        <f t="shared" si="1"/>
        <v>0</v>
      </c>
      <c r="BB119" s="23">
        <f>IF(AND(ISNUMBER(H119),Metadata!$H$5&gt;Metadata!$G$5),MAX(Metadata!$G$5-H119,0,H119-Metadata!$H$5)/(Metadata!$H$5-Metadata!$G$5),"Missing input")</f>
        <v>0</v>
      </c>
      <c r="BC119" s="23">
        <f>IF(AND(ISNUMBER(L119),Metadata!$H$8&gt;Metadata!$G$8),MAX(Metadata!$G$8-L119,0,L119-Metadata!$H$8)/(Metadata!$H$8-Metadata!$G$8),"Missing input")</f>
        <v>0</v>
      </c>
    </row>
    <row r="120" spans="1:55" x14ac:dyDescent="0.2">
      <c r="A120" t="s">
        <v>188</v>
      </c>
      <c r="B120" t="s">
        <v>170</v>
      </c>
      <c r="C120" t="s">
        <v>84</v>
      </c>
      <c r="D120" t="s">
        <v>55</v>
      </c>
      <c r="E120" t="s">
        <v>56</v>
      </c>
      <c r="F120">
        <v>19</v>
      </c>
      <c r="G120">
        <v>21.707483118551171</v>
      </c>
      <c r="H120">
        <v>43.497365085878002</v>
      </c>
      <c r="I120">
        <v>1.57</v>
      </c>
      <c r="J120">
        <v>1.5</v>
      </c>
      <c r="K120">
        <v>0.95</v>
      </c>
      <c r="L120">
        <v>0.55000000000000004</v>
      </c>
      <c r="M120">
        <v>10</v>
      </c>
      <c r="N120">
        <v>110</v>
      </c>
      <c r="Q120">
        <v>0.95199777381508888</v>
      </c>
      <c r="R120">
        <v>2786376.2799094608</v>
      </c>
      <c r="S120">
        <v>-6.9720299522071268E-3</v>
      </c>
      <c r="T120">
        <v>1327.844178866673</v>
      </c>
      <c r="U120">
        <v>1195.225700804117</v>
      </c>
      <c r="V120">
        <v>293.77083603244972</v>
      </c>
      <c r="W120">
        <v>4.0685648614626038</v>
      </c>
      <c r="X120" t="s">
        <v>57</v>
      </c>
      <c r="Z120">
        <v>575.46400000000006</v>
      </c>
      <c r="AA120">
        <v>95.163399999999996</v>
      </c>
      <c r="AB120">
        <v>33.023899999999998</v>
      </c>
      <c r="AC120">
        <v>15.04785239711498</v>
      </c>
      <c r="AD120">
        <v>37.127305269029627</v>
      </c>
      <c r="AE120">
        <v>37.127305269029627</v>
      </c>
      <c r="AF120" t="s">
        <v>58</v>
      </c>
      <c r="AG120" t="b">
        <v>1</v>
      </c>
      <c r="AH120">
        <v>2.4672826586302632</v>
      </c>
      <c r="AI120">
        <v>577.29600000000005</v>
      </c>
      <c r="AJ120">
        <v>91.310100000000006</v>
      </c>
      <c r="AK120">
        <v>32.289299999999997</v>
      </c>
      <c r="AL120">
        <v>14.46855381907779</v>
      </c>
      <c r="AM120">
        <v>36.039621393217232</v>
      </c>
      <c r="AN120">
        <v>36.039621393217232</v>
      </c>
      <c r="AO120" t="s">
        <v>58</v>
      </c>
      <c r="AP120" t="b">
        <v>1</v>
      </c>
      <c r="AQ120">
        <v>2.4908931358223581</v>
      </c>
      <c r="AR120">
        <v>577.29600000000005</v>
      </c>
      <c r="AS120">
        <v>37.127305269029627</v>
      </c>
      <c r="AT120">
        <v>2.4908931358223581</v>
      </c>
      <c r="AU120" s="5">
        <v>27.734097035965132</v>
      </c>
      <c r="AV120" s="5">
        <v>39.61483472205461</v>
      </c>
      <c r="AW120" s="5">
        <v>1.8606971724593016</v>
      </c>
      <c r="AX120" s="5">
        <v>2.6577829759224558</v>
      </c>
      <c r="AY120" t="s">
        <v>64</v>
      </c>
      <c r="AZ120" t="s">
        <v>7</v>
      </c>
      <c r="BA120" s="23">
        <f t="shared" si="1"/>
        <v>9.4596678167087334E-2</v>
      </c>
      <c r="BB120" s="23">
        <f>IF(AND(ISNUMBER(H120),Metadata!$H$5&gt;Metadata!$G$5),MAX(Metadata!$G$5-H120,0,H120-Metadata!$H$5)/(Metadata!$H$5-Metadata!$G$5),"Missing input")</f>
        <v>9.4596678167087334E-2</v>
      </c>
      <c r="BC120" s="23">
        <f>IF(AND(ISNUMBER(L120),Metadata!$H$8&gt;Metadata!$G$8),MAX(Metadata!$G$8-L120,0,L120-Metadata!$H$8)/(Metadata!$H$8-Metadata!$G$8),"Missing input")</f>
        <v>0</v>
      </c>
    </row>
    <row r="121" spans="1:55" x14ac:dyDescent="0.2">
      <c r="A121" t="s">
        <v>189</v>
      </c>
      <c r="B121" t="s">
        <v>170</v>
      </c>
      <c r="C121" t="s">
        <v>84</v>
      </c>
      <c r="D121" t="s">
        <v>55</v>
      </c>
      <c r="E121" t="s">
        <v>56</v>
      </c>
      <c r="F121">
        <v>20</v>
      </c>
      <c r="G121">
        <v>53.035991243371583</v>
      </c>
      <c r="H121">
        <v>30.34654288470276</v>
      </c>
      <c r="I121">
        <v>1.57</v>
      </c>
      <c r="J121">
        <v>1.5</v>
      </c>
      <c r="K121">
        <v>0.95</v>
      </c>
      <c r="L121">
        <v>0.55000000000000004</v>
      </c>
      <c r="M121">
        <v>10</v>
      </c>
      <c r="N121">
        <v>110</v>
      </c>
      <c r="Q121">
        <v>0.95199777381508888</v>
      </c>
      <c r="R121">
        <v>4782098.2730990862</v>
      </c>
      <c r="S121">
        <v>-6.4874313714892188E-3</v>
      </c>
      <c r="T121">
        <v>2064.392118408005</v>
      </c>
      <c r="U121">
        <v>1325.928136026253</v>
      </c>
      <c r="V121">
        <v>456.72392000177121</v>
      </c>
      <c r="W121">
        <v>2.9031282968956629</v>
      </c>
      <c r="X121" t="s">
        <v>57</v>
      </c>
      <c r="Z121">
        <v>1016.8</v>
      </c>
      <c r="AA121">
        <v>95.163399999999996</v>
      </c>
      <c r="AB121">
        <v>42.220700000000001</v>
      </c>
      <c r="AC121">
        <v>15.971854495912799</v>
      </c>
      <c r="AD121">
        <v>47.704454957930807</v>
      </c>
      <c r="AE121">
        <v>47.704454957930807</v>
      </c>
      <c r="AF121" t="s">
        <v>58</v>
      </c>
      <c r="AG121" t="b">
        <v>1</v>
      </c>
      <c r="AH121">
        <v>2.9867824660022029</v>
      </c>
      <c r="AI121">
        <v>1011.54</v>
      </c>
      <c r="AJ121">
        <v>91.310100000000006</v>
      </c>
      <c r="AK121">
        <v>41.795699999999997</v>
      </c>
      <c r="AL121">
        <v>15.405573998672271</v>
      </c>
      <c r="AM121">
        <v>48.138809149699277</v>
      </c>
      <c r="AN121">
        <v>48.138809149699277</v>
      </c>
      <c r="AO121" t="s">
        <v>58</v>
      </c>
      <c r="AP121" t="b">
        <v>1</v>
      </c>
      <c r="AQ121">
        <v>3.1247656954455652</v>
      </c>
      <c r="AR121">
        <v>1016.8</v>
      </c>
      <c r="AS121">
        <v>48.138809149699277</v>
      </c>
      <c r="AT121">
        <v>3.1247656954455652</v>
      </c>
      <c r="AU121" s="5">
        <v>35.959690434825362</v>
      </c>
      <c r="AV121" s="5">
        <v>51.364109362729124</v>
      </c>
      <c r="AW121" s="5">
        <v>2.334199974497837</v>
      </c>
      <c r="AX121" s="5">
        <v>3.3341249970404179</v>
      </c>
      <c r="AY121" t="s">
        <v>59</v>
      </c>
      <c r="AZ121" t="s">
        <v>60</v>
      </c>
      <c r="BA121" s="23">
        <f t="shared" si="1"/>
        <v>0</v>
      </c>
      <c r="BB121" s="23">
        <f>IF(AND(ISNUMBER(H121),Metadata!$H$5&gt;Metadata!$G$5),MAX(Metadata!$G$5-H121,0,H121-Metadata!$H$5)/(Metadata!$H$5-Metadata!$G$5),"Missing input")</f>
        <v>0</v>
      </c>
      <c r="BC121" s="23">
        <f>IF(AND(ISNUMBER(L121),Metadata!$H$8&gt;Metadata!$G$8),MAX(Metadata!$G$8-L121,0,L121-Metadata!$H$8)/(Metadata!$H$8-Metadata!$G$8),"Missing input")</f>
        <v>0</v>
      </c>
    </row>
    <row r="122" spans="1:55" x14ac:dyDescent="0.2">
      <c r="A122" t="s">
        <v>190</v>
      </c>
      <c r="B122" t="s">
        <v>191</v>
      </c>
      <c r="C122" t="s">
        <v>84</v>
      </c>
      <c r="D122" t="s">
        <v>55</v>
      </c>
      <c r="E122" t="s">
        <v>56</v>
      </c>
      <c r="F122">
        <v>1</v>
      </c>
      <c r="G122">
        <v>22.11413992487228</v>
      </c>
      <c r="H122">
        <v>28.832065765515338</v>
      </c>
      <c r="I122">
        <v>1.57</v>
      </c>
      <c r="J122">
        <v>1.5</v>
      </c>
      <c r="K122">
        <v>0.84</v>
      </c>
      <c r="L122">
        <v>0.1</v>
      </c>
      <c r="M122">
        <v>10</v>
      </c>
      <c r="N122">
        <v>125</v>
      </c>
      <c r="Q122">
        <v>0.83775804095727824</v>
      </c>
      <c r="R122">
        <v>1866510.334985178</v>
      </c>
      <c r="S122">
        <v>-5.6686275609937027E-3</v>
      </c>
      <c r="T122">
        <v>931.93139645531812</v>
      </c>
      <c r="U122">
        <v>409.39542952937762</v>
      </c>
      <c r="V122">
        <v>206.1795124901146</v>
      </c>
      <c r="W122">
        <v>1.9856261399832651</v>
      </c>
      <c r="X122" t="s">
        <v>57</v>
      </c>
      <c r="Z122">
        <v>552.43700000000001</v>
      </c>
      <c r="AA122">
        <v>95.163399999999996</v>
      </c>
      <c r="AB122">
        <v>40.726599999999998</v>
      </c>
      <c r="AC122">
        <v>16.376583563134979</v>
      </c>
      <c r="AD122">
        <v>50.485646991565133</v>
      </c>
      <c r="AE122">
        <v>50.485646991565133</v>
      </c>
      <c r="AF122" t="s">
        <v>58</v>
      </c>
      <c r="AG122" t="b">
        <v>1</v>
      </c>
      <c r="AH122">
        <v>3.0827948208448319</v>
      </c>
      <c r="AI122">
        <v>552.72699999999998</v>
      </c>
      <c r="AJ122">
        <v>91.310100000000006</v>
      </c>
      <c r="AK122">
        <v>39.358900000000013</v>
      </c>
      <c r="AL122">
        <v>16.170962093296751</v>
      </c>
      <c r="AM122">
        <v>50.574727145612343</v>
      </c>
      <c r="AN122">
        <v>50.574727145612343</v>
      </c>
      <c r="AO122" t="s">
        <v>58</v>
      </c>
      <c r="AP122" t="b">
        <v>1</v>
      </c>
      <c r="AQ122">
        <v>3.1275026713826</v>
      </c>
      <c r="AR122">
        <v>552.72699999999998</v>
      </c>
      <c r="AS122">
        <v>50.574727145612343</v>
      </c>
      <c r="AT122">
        <v>3.1275026713826</v>
      </c>
      <c r="AU122" s="5">
        <v>37.779321177772417</v>
      </c>
      <c r="AV122" s="5">
        <v>53.96323386436837</v>
      </c>
      <c r="AW122" s="5">
        <v>2.3362444955228021</v>
      </c>
      <c r="AX122" s="5">
        <v>3.337045350365234</v>
      </c>
      <c r="AY122" t="s">
        <v>64</v>
      </c>
      <c r="AZ122" t="s">
        <v>11</v>
      </c>
      <c r="BA122" s="23">
        <f t="shared" si="1"/>
        <v>8.165555070747366E-3</v>
      </c>
      <c r="BB122" s="23">
        <f>IF(AND(ISNUMBER(H122),Metadata!$H$5&gt;Metadata!$G$5),MAX(Metadata!$G$5-H122,0,H122-Metadata!$H$5)/(Metadata!$H$5-Metadata!$G$5),"Missing input")</f>
        <v>0</v>
      </c>
      <c r="BC122" s="23">
        <f>IF(AND(ISNUMBER(L122),Metadata!$H$8&gt;Metadata!$G$8),MAX(Metadata!$G$8-L122,0,L122-Metadata!$H$8)/(Metadata!$H$8-Metadata!$G$8),"Missing input")</f>
        <v>8.165555070747366E-3</v>
      </c>
    </row>
    <row r="123" spans="1:55" x14ac:dyDescent="0.2">
      <c r="A123" t="s">
        <v>192</v>
      </c>
      <c r="B123" t="s">
        <v>191</v>
      </c>
      <c r="C123" t="s">
        <v>84</v>
      </c>
      <c r="D123" t="s">
        <v>55</v>
      </c>
      <c r="E123" t="s">
        <v>56</v>
      </c>
      <c r="F123">
        <v>2</v>
      </c>
      <c r="G123">
        <v>39.289372610104301</v>
      </c>
      <c r="H123">
        <v>11.43599740060767</v>
      </c>
      <c r="I123">
        <v>1.57</v>
      </c>
      <c r="J123">
        <v>1.5</v>
      </c>
      <c r="K123">
        <v>0.84</v>
      </c>
      <c r="L123">
        <v>0.1</v>
      </c>
      <c r="M123">
        <v>10</v>
      </c>
      <c r="N123">
        <v>125</v>
      </c>
      <c r="Q123">
        <v>0.83775804095727824</v>
      </c>
      <c r="R123">
        <v>1301660.814121977</v>
      </c>
      <c r="S123">
        <v>-3.655143037520001E-3</v>
      </c>
      <c r="T123">
        <v>682.24591859950192</v>
      </c>
      <c r="U123">
        <v>487.39265408736833</v>
      </c>
      <c r="V123">
        <v>150.93936252201371</v>
      </c>
      <c r="W123">
        <v>3.229062624511116</v>
      </c>
      <c r="X123" t="s">
        <v>57</v>
      </c>
      <c r="Z123">
        <v>567.95000000000005</v>
      </c>
      <c r="AA123">
        <v>95.163399999999996</v>
      </c>
      <c r="AB123">
        <v>65.006200000000007</v>
      </c>
      <c r="AC123">
        <v>15.921742651482599</v>
      </c>
      <c r="AE123">
        <v>95.163399999999996</v>
      </c>
      <c r="AF123" t="s">
        <v>62</v>
      </c>
      <c r="AG123" t="b">
        <v>0</v>
      </c>
      <c r="AH123">
        <v>5.9769462478492317</v>
      </c>
      <c r="AI123">
        <v>563.86</v>
      </c>
      <c r="AJ123">
        <v>91.310100000000006</v>
      </c>
      <c r="AK123">
        <v>64.811499999999995</v>
      </c>
      <c r="AL123">
        <v>15.4378785930663</v>
      </c>
      <c r="AN123">
        <v>91.310100000000006</v>
      </c>
      <c r="AO123" t="s">
        <v>62</v>
      </c>
      <c r="AP123" t="b">
        <v>0</v>
      </c>
      <c r="AQ123">
        <v>5.9146792384421643</v>
      </c>
      <c r="AR123">
        <v>567.95000000000005</v>
      </c>
      <c r="AS123">
        <v>95.163399999999996</v>
      </c>
      <c r="AT123">
        <v>5.9769462478492317</v>
      </c>
      <c r="AU123" s="5">
        <v>71.087059799999992</v>
      </c>
      <c r="AV123" s="5">
        <v>101.53934779999999</v>
      </c>
      <c r="AW123" s="5">
        <v>4.4647788471433758</v>
      </c>
      <c r="AX123" s="5">
        <v>6.3774016464551302</v>
      </c>
      <c r="AY123" t="s">
        <v>64</v>
      </c>
      <c r="AZ123" t="s">
        <v>11</v>
      </c>
      <c r="BA123" s="23">
        <f t="shared" si="1"/>
        <v>8.165555070747366E-3</v>
      </c>
      <c r="BB123" s="23">
        <f>IF(AND(ISNUMBER(H123),Metadata!$H$5&gt;Metadata!$G$5),MAX(Metadata!$G$5-H123,0,H123-Metadata!$H$5)/(Metadata!$H$5-Metadata!$G$5),"Missing input")</f>
        <v>0</v>
      </c>
      <c r="BC123" s="23">
        <f>IF(AND(ISNUMBER(L123),Metadata!$H$8&gt;Metadata!$G$8),MAX(Metadata!$G$8-L123,0,L123-Metadata!$H$8)/(Metadata!$H$8-Metadata!$G$8),"Missing input")</f>
        <v>8.165555070747366E-3</v>
      </c>
    </row>
    <row r="124" spans="1:55" x14ac:dyDescent="0.2">
      <c r="A124" t="s">
        <v>193</v>
      </c>
      <c r="B124" t="s">
        <v>191</v>
      </c>
      <c r="C124" t="s">
        <v>84</v>
      </c>
      <c r="D124" t="s">
        <v>55</v>
      </c>
      <c r="E124" t="s">
        <v>56</v>
      </c>
      <c r="F124">
        <v>3</v>
      </c>
      <c r="G124">
        <v>50.720967279676117</v>
      </c>
      <c r="H124">
        <v>41.572102032205443</v>
      </c>
      <c r="I124">
        <v>1.57</v>
      </c>
      <c r="J124">
        <v>1.5</v>
      </c>
      <c r="K124">
        <v>0.84</v>
      </c>
      <c r="L124">
        <v>0.1</v>
      </c>
      <c r="M124">
        <v>10</v>
      </c>
      <c r="N124">
        <v>125</v>
      </c>
      <c r="Q124">
        <v>0.83775804095727824</v>
      </c>
      <c r="R124">
        <v>6279453.0057685468</v>
      </c>
      <c r="S124">
        <v>-5.9298474831889041E-3</v>
      </c>
      <c r="T124">
        <v>2795.5189136654449</v>
      </c>
      <c r="U124">
        <v>529.92673931662273</v>
      </c>
      <c r="V124">
        <v>618.47763576669149</v>
      </c>
      <c r="W124">
        <v>0.8568244163909059</v>
      </c>
      <c r="X124" t="s">
        <v>87</v>
      </c>
      <c r="Z124">
        <v>1002.39</v>
      </c>
      <c r="AA124">
        <v>95.033199999999994</v>
      </c>
      <c r="AB124">
        <v>34.7376</v>
      </c>
      <c r="AC124">
        <v>13.609369778002019</v>
      </c>
      <c r="AD124">
        <v>36.335059505062887</v>
      </c>
      <c r="AE124">
        <v>36.335059505062887</v>
      </c>
      <c r="AF124" t="s">
        <v>58</v>
      </c>
      <c r="AG124" t="b">
        <v>1</v>
      </c>
      <c r="AH124">
        <v>2.669856143066546</v>
      </c>
      <c r="AI124">
        <v>1039.1500000000001</v>
      </c>
      <c r="AJ124">
        <v>90.83489999999999</v>
      </c>
      <c r="AK124">
        <v>31.860600000000002</v>
      </c>
      <c r="AL124">
        <v>13.705057068251399</v>
      </c>
      <c r="AM124">
        <v>32.448891057692947</v>
      </c>
      <c r="AN124">
        <v>32.448891057692947</v>
      </c>
      <c r="AO124" t="s">
        <v>58</v>
      </c>
      <c r="AP124" t="b">
        <v>1</v>
      </c>
      <c r="AQ124">
        <v>2.367658222515745</v>
      </c>
      <c r="AR124">
        <v>1039.1500000000001</v>
      </c>
      <c r="AS124">
        <v>36.335059505062887</v>
      </c>
      <c r="AT124">
        <v>2.669856143066546</v>
      </c>
      <c r="AU124" s="5" t="s">
        <v>88</v>
      </c>
      <c r="AV124" s="5" t="s">
        <v>88</v>
      </c>
      <c r="AW124" s="5" t="s">
        <v>88</v>
      </c>
      <c r="AX124" s="5" t="s">
        <v>88</v>
      </c>
      <c r="AY124" t="s">
        <v>64</v>
      </c>
      <c r="AZ124" t="s">
        <v>194</v>
      </c>
      <c r="BA124" s="23">
        <f t="shared" si="1"/>
        <v>4.6063612035701466E-2</v>
      </c>
      <c r="BB124" s="23">
        <f>IF(AND(ISNUMBER(H124),Metadata!$H$5&gt;Metadata!$G$5),MAX(Metadata!$G$5-H124,0,H124-Metadata!$H$5)/(Metadata!$H$5-Metadata!$G$5),"Missing input")</f>
        <v>4.6063612035701466E-2</v>
      </c>
      <c r="BC124" s="23">
        <f>IF(AND(ISNUMBER(L124),Metadata!$H$8&gt;Metadata!$G$8),MAX(Metadata!$G$8-L124,0,L124-Metadata!$H$8)/(Metadata!$H$8-Metadata!$G$8),"Missing input")</f>
        <v>8.165555070747366E-3</v>
      </c>
    </row>
    <row r="125" spans="1:55" x14ac:dyDescent="0.2">
      <c r="A125" t="s">
        <v>195</v>
      </c>
      <c r="B125" t="s">
        <v>191</v>
      </c>
      <c r="C125" t="s">
        <v>84</v>
      </c>
      <c r="D125" t="s">
        <v>55</v>
      </c>
      <c r="E125" t="s">
        <v>56</v>
      </c>
      <c r="F125">
        <v>4</v>
      </c>
      <c r="G125">
        <v>40.065365059576777</v>
      </c>
      <c r="H125">
        <v>25.23064360495534</v>
      </c>
      <c r="I125">
        <v>1.57</v>
      </c>
      <c r="J125">
        <v>1.5</v>
      </c>
      <c r="K125">
        <v>0.84</v>
      </c>
      <c r="L125">
        <v>0.1</v>
      </c>
      <c r="M125">
        <v>10</v>
      </c>
      <c r="N125">
        <v>125</v>
      </c>
      <c r="Q125">
        <v>0.83775804095727824</v>
      </c>
      <c r="R125">
        <v>2986346.165161836</v>
      </c>
      <c r="S125">
        <v>-5.4032536288546951E-3</v>
      </c>
      <c r="T125">
        <v>1323.2635029237761</v>
      </c>
      <c r="U125">
        <v>490.4614765032677</v>
      </c>
      <c r="V125">
        <v>292.75741215127789</v>
      </c>
      <c r="W125">
        <v>1.6753170240821409</v>
      </c>
      <c r="X125" t="s">
        <v>57</v>
      </c>
      <c r="Z125">
        <v>782.26199999999994</v>
      </c>
      <c r="AA125">
        <v>95.163399999999996</v>
      </c>
      <c r="AB125">
        <v>44.910200000000003</v>
      </c>
      <c r="AC125">
        <v>15.891579051172711</v>
      </c>
      <c r="AD125">
        <v>54.48522431445339</v>
      </c>
      <c r="AE125">
        <v>54.48522431445339</v>
      </c>
      <c r="AF125" t="s">
        <v>58</v>
      </c>
      <c r="AG125" t="b">
        <v>1</v>
      </c>
      <c r="AH125">
        <v>3.4285594992797579</v>
      </c>
      <c r="AI125">
        <v>777.80399999999997</v>
      </c>
      <c r="AJ125">
        <v>91.310100000000006</v>
      </c>
      <c r="AK125">
        <v>44.887300000000003</v>
      </c>
      <c r="AL125">
        <v>15.512778048780479</v>
      </c>
      <c r="AM125">
        <v>53.79055966397663</v>
      </c>
      <c r="AN125">
        <v>53.79055966397663</v>
      </c>
      <c r="AO125" t="s">
        <v>58</v>
      </c>
      <c r="AP125" t="b">
        <v>1</v>
      </c>
      <c r="AQ125">
        <v>3.467500114733177</v>
      </c>
      <c r="AR125">
        <v>782.26199999999994</v>
      </c>
      <c r="AS125">
        <v>54.48522431445339</v>
      </c>
      <c r="AT125">
        <v>3.467500114733177</v>
      </c>
      <c r="AU125" s="5">
        <v>40.700462562896682</v>
      </c>
      <c r="AV125" s="5">
        <v>58.135734343521762</v>
      </c>
      <c r="AW125" s="5">
        <v>2.5902225857056833</v>
      </c>
      <c r="AX125" s="5">
        <v>3.6998226224202995</v>
      </c>
      <c r="AY125" t="s">
        <v>64</v>
      </c>
      <c r="AZ125" t="s">
        <v>11</v>
      </c>
      <c r="BA125" s="23">
        <f t="shared" si="1"/>
        <v>8.165555070747366E-3</v>
      </c>
      <c r="BB125" s="23">
        <f>IF(AND(ISNUMBER(H125),Metadata!$H$5&gt;Metadata!$G$5),MAX(Metadata!$G$5-H125,0,H125-Metadata!$H$5)/(Metadata!$H$5-Metadata!$G$5),"Missing input")</f>
        <v>0</v>
      </c>
      <c r="BC125" s="23">
        <f>IF(AND(ISNUMBER(L125),Metadata!$H$8&gt;Metadata!$G$8),MAX(Metadata!$G$8-L125,0,L125-Metadata!$H$8)/(Metadata!$H$8-Metadata!$G$8),"Missing input")</f>
        <v>8.165555070747366E-3</v>
      </c>
    </row>
    <row r="126" spans="1:55" x14ac:dyDescent="0.2">
      <c r="A126" t="s">
        <v>196</v>
      </c>
      <c r="B126" t="s">
        <v>191</v>
      </c>
      <c r="C126" t="s">
        <v>84</v>
      </c>
      <c r="D126" t="s">
        <v>55</v>
      </c>
      <c r="E126" t="s">
        <v>56</v>
      </c>
      <c r="F126">
        <v>5</v>
      </c>
      <c r="G126">
        <v>44.691650234033148</v>
      </c>
      <c r="H126">
        <v>35.278860063057749</v>
      </c>
      <c r="I126">
        <v>1.57</v>
      </c>
      <c r="J126">
        <v>1.5</v>
      </c>
      <c r="K126">
        <v>0.84</v>
      </c>
      <c r="L126">
        <v>0.1</v>
      </c>
      <c r="M126">
        <v>10</v>
      </c>
      <c r="N126">
        <v>125</v>
      </c>
      <c r="Q126">
        <v>0.83775804095727824</v>
      </c>
      <c r="R126">
        <v>4683732.748780732</v>
      </c>
      <c r="S126">
        <v>-5.9186170882937414E-3</v>
      </c>
      <c r="T126">
        <v>2061.9786008310161</v>
      </c>
      <c r="U126">
        <v>508.17080081414468</v>
      </c>
      <c r="V126">
        <v>456.18995593606547</v>
      </c>
      <c r="W126">
        <v>1.113945614544315</v>
      </c>
      <c r="X126" t="s">
        <v>87</v>
      </c>
      <c r="Z126">
        <v>922.14200000000005</v>
      </c>
      <c r="AA126">
        <v>95.163399999999996</v>
      </c>
      <c r="AB126">
        <v>35.7943</v>
      </c>
      <c r="AC126">
        <v>15.021464128642121</v>
      </c>
      <c r="AD126">
        <v>38.477561536320138</v>
      </c>
      <c r="AE126">
        <v>38.477561536320138</v>
      </c>
      <c r="AF126" t="s">
        <v>58</v>
      </c>
      <c r="AG126" t="b">
        <v>1</v>
      </c>
      <c r="AH126">
        <v>2.561505403654575</v>
      </c>
      <c r="AI126">
        <v>917.75800000000004</v>
      </c>
      <c r="AJ126">
        <v>91.310100000000006</v>
      </c>
      <c r="AK126">
        <v>35.1736</v>
      </c>
      <c r="AL126">
        <v>14.35987618568233</v>
      </c>
      <c r="AM126">
        <v>39.226572362416483</v>
      </c>
      <c r="AN126">
        <v>39.226572362416483</v>
      </c>
      <c r="AO126" t="s">
        <v>58</v>
      </c>
      <c r="AP126" t="b">
        <v>1</v>
      </c>
      <c r="AQ126">
        <v>2.7316790099853199</v>
      </c>
      <c r="AR126">
        <v>922.14200000000005</v>
      </c>
      <c r="AS126">
        <v>39.226572362416483</v>
      </c>
      <c r="AT126">
        <v>2.7316790099853199</v>
      </c>
      <c r="AU126" s="5" t="s">
        <v>88</v>
      </c>
      <c r="AV126" s="5" t="s">
        <v>88</v>
      </c>
      <c r="AW126" s="5" t="s">
        <v>88</v>
      </c>
      <c r="AX126" s="5" t="s">
        <v>88</v>
      </c>
      <c r="AY126" t="s">
        <v>64</v>
      </c>
      <c r="AZ126" t="s">
        <v>11</v>
      </c>
      <c r="BA126" s="23">
        <f t="shared" si="1"/>
        <v>8.165555070747366E-3</v>
      </c>
      <c r="BB126" s="23">
        <f>IF(AND(ISNUMBER(H126),Metadata!$H$5&gt;Metadata!$G$5),MAX(Metadata!$G$5-H126,0,H126-Metadata!$H$5)/(Metadata!$H$5-Metadata!$G$5),"Missing input")</f>
        <v>0</v>
      </c>
      <c r="BC126" s="23">
        <f>IF(AND(ISNUMBER(L126),Metadata!$H$8&gt;Metadata!$G$8),MAX(Metadata!$G$8-L126,0,L126-Metadata!$H$8)/(Metadata!$H$8-Metadata!$G$8),"Missing input")</f>
        <v>8.165555070747366E-3</v>
      </c>
    </row>
    <row r="127" spans="1:55" x14ac:dyDescent="0.2">
      <c r="A127" t="s">
        <v>197</v>
      </c>
      <c r="B127" t="s">
        <v>191</v>
      </c>
      <c r="C127" t="s">
        <v>84</v>
      </c>
      <c r="D127" t="s">
        <v>55</v>
      </c>
      <c r="E127" t="s">
        <v>56</v>
      </c>
      <c r="F127">
        <v>6</v>
      </c>
      <c r="G127">
        <v>33.086500490231572</v>
      </c>
      <c r="H127">
        <v>19.79580616436397</v>
      </c>
      <c r="I127">
        <v>1.57</v>
      </c>
      <c r="J127">
        <v>1.5</v>
      </c>
      <c r="K127">
        <v>0.84</v>
      </c>
      <c r="L127">
        <v>0.1</v>
      </c>
      <c r="M127">
        <v>10</v>
      </c>
      <c r="N127">
        <v>125</v>
      </c>
      <c r="Q127">
        <v>0.83775804095727824</v>
      </c>
      <c r="R127">
        <v>1918643.176085273</v>
      </c>
      <c r="S127">
        <v>-4.828300843428065E-3</v>
      </c>
      <c r="T127">
        <v>915.0391797947683</v>
      </c>
      <c r="U127">
        <v>461.68329406432468</v>
      </c>
      <c r="V127">
        <v>202.44229641477179</v>
      </c>
      <c r="W127">
        <v>2.280567362851929</v>
      </c>
      <c r="X127" t="s">
        <v>57</v>
      </c>
      <c r="Z127">
        <v>624.30200000000002</v>
      </c>
      <c r="AA127">
        <v>95.163399999999996</v>
      </c>
      <c r="AB127">
        <v>37.809100000000001</v>
      </c>
      <c r="AC127">
        <v>15.749117628341111</v>
      </c>
      <c r="AD127">
        <v>37.984489704960431</v>
      </c>
      <c r="AE127">
        <v>37.984489704960431</v>
      </c>
      <c r="AF127" t="s">
        <v>58</v>
      </c>
      <c r="AG127" t="b">
        <v>1</v>
      </c>
      <c r="AH127">
        <v>2.4118487525044552</v>
      </c>
      <c r="AI127">
        <v>607.77700000000004</v>
      </c>
      <c r="AJ127">
        <v>91.310100000000006</v>
      </c>
      <c r="AK127">
        <v>32.289299999999997</v>
      </c>
      <c r="AL127">
        <v>14.6748876663421</v>
      </c>
      <c r="AM127">
        <v>32.767610770173498</v>
      </c>
      <c r="AN127">
        <v>32.767610770173498</v>
      </c>
      <c r="AO127" t="s">
        <v>58</v>
      </c>
      <c r="AP127" t="b">
        <v>1</v>
      </c>
      <c r="AQ127">
        <v>2.2329036865698368</v>
      </c>
      <c r="AR127">
        <v>624.30200000000002</v>
      </c>
      <c r="AS127">
        <v>37.984489704960431</v>
      </c>
      <c r="AT127">
        <v>2.4118487525044552</v>
      </c>
      <c r="AU127" s="5">
        <v>28.374413809605443</v>
      </c>
      <c r="AV127" s="5">
        <v>40.529450515192778</v>
      </c>
      <c r="AW127" s="5">
        <v>1.8016510181208281</v>
      </c>
      <c r="AX127" s="5">
        <v>2.5734426189222535</v>
      </c>
      <c r="AY127" t="s">
        <v>64</v>
      </c>
      <c r="AZ127" t="s">
        <v>11</v>
      </c>
      <c r="BA127" s="23">
        <f t="shared" si="1"/>
        <v>8.165555070747366E-3</v>
      </c>
      <c r="BB127" s="23">
        <f>IF(AND(ISNUMBER(H127),Metadata!$H$5&gt;Metadata!$G$5),MAX(Metadata!$G$5-H127,0,H127-Metadata!$H$5)/(Metadata!$H$5-Metadata!$G$5),"Missing input")</f>
        <v>0</v>
      </c>
      <c r="BC127" s="23">
        <f>IF(AND(ISNUMBER(L127),Metadata!$H$8&gt;Metadata!$G$8),MAX(Metadata!$G$8-L127,0,L127-Metadata!$H$8)/(Metadata!$H$8-Metadata!$G$8),"Missing input")</f>
        <v>8.165555070747366E-3</v>
      </c>
    </row>
    <row r="128" spans="1:55" x14ac:dyDescent="0.2">
      <c r="A128" t="s">
        <v>198</v>
      </c>
      <c r="B128" t="s">
        <v>191</v>
      </c>
      <c r="C128" t="s">
        <v>84</v>
      </c>
      <c r="D128" t="s">
        <v>55</v>
      </c>
      <c r="E128" t="s">
        <v>56</v>
      </c>
      <c r="F128">
        <v>7</v>
      </c>
      <c r="G128">
        <v>42.943727860216583</v>
      </c>
      <c r="H128">
        <v>31.604415760045629</v>
      </c>
      <c r="I128">
        <v>1.57</v>
      </c>
      <c r="J128">
        <v>1.5</v>
      </c>
      <c r="K128">
        <v>0.84</v>
      </c>
      <c r="L128">
        <v>0.1</v>
      </c>
      <c r="M128">
        <v>10</v>
      </c>
      <c r="N128">
        <v>125</v>
      </c>
      <c r="Q128">
        <v>0.83775804095727824</v>
      </c>
      <c r="R128">
        <v>4025355.613741619</v>
      </c>
      <c r="S128">
        <v>-5.8096647079157694E-3</v>
      </c>
      <c r="T128">
        <v>1767.125197942283</v>
      </c>
      <c r="U128">
        <v>501.59271537952918</v>
      </c>
      <c r="V128">
        <v>390.95690219962017</v>
      </c>
      <c r="W128">
        <v>1.2829872360801009</v>
      </c>
      <c r="X128" t="s">
        <v>57</v>
      </c>
      <c r="Z128">
        <v>874.16600000000005</v>
      </c>
      <c r="AA128">
        <v>95.163399999999996</v>
      </c>
      <c r="AB128">
        <v>37.809100000000001</v>
      </c>
      <c r="AC128">
        <v>15.32714943803159</v>
      </c>
      <c r="AD128">
        <v>44.172392603897038</v>
      </c>
      <c r="AE128">
        <v>44.172392603897038</v>
      </c>
      <c r="AF128" t="s">
        <v>58</v>
      </c>
      <c r="AG128" t="b">
        <v>1</v>
      </c>
      <c r="AH128">
        <v>2.8819705048540278</v>
      </c>
      <c r="AI128">
        <v>874.26</v>
      </c>
      <c r="AJ128">
        <v>91.310100000000006</v>
      </c>
      <c r="AK128">
        <v>38.574199999999998</v>
      </c>
      <c r="AL128">
        <v>14.92620007367386</v>
      </c>
      <c r="AM128">
        <v>42.66246202885165</v>
      </c>
      <c r="AN128">
        <v>42.66246202885165</v>
      </c>
      <c r="AO128" t="s">
        <v>58</v>
      </c>
      <c r="AP128" t="b">
        <v>1</v>
      </c>
      <c r="AQ128">
        <v>2.858226596071006</v>
      </c>
      <c r="AR128">
        <v>874.26</v>
      </c>
      <c r="AS128">
        <v>44.172392603897038</v>
      </c>
      <c r="AT128">
        <v>2.8819705048540278</v>
      </c>
      <c r="AU128" s="5">
        <v>32.996777275111086</v>
      </c>
      <c r="AV128" s="5">
        <v>47.131942908358134</v>
      </c>
      <c r="AW128" s="5">
        <v>2.1528319671259588</v>
      </c>
      <c r="AX128" s="5">
        <v>3.0750625286792475</v>
      </c>
      <c r="AY128" t="s">
        <v>64</v>
      </c>
      <c r="AZ128" t="s">
        <v>11</v>
      </c>
      <c r="BA128" s="23">
        <f t="shared" si="1"/>
        <v>8.165555070747366E-3</v>
      </c>
      <c r="BB128" s="23">
        <f>IF(AND(ISNUMBER(H128),Metadata!$H$5&gt;Metadata!$G$5),MAX(Metadata!$G$5-H128,0,H128-Metadata!$H$5)/(Metadata!$H$5-Metadata!$G$5),"Missing input")</f>
        <v>0</v>
      </c>
      <c r="BC128" s="23">
        <f>IF(AND(ISNUMBER(L128),Metadata!$H$8&gt;Metadata!$G$8),MAX(Metadata!$G$8-L128,0,L128-Metadata!$H$8)/(Metadata!$H$8-Metadata!$G$8),"Missing input")</f>
        <v>8.165555070747366E-3</v>
      </c>
    </row>
    <row r="129" spans="1:55" x14ac:dyDescent="0.2">
      <c r="A129" t="s">
        <v>199</v>
      </c>
      <c r="B129" t="s">
        <v>191</v>
      </c>
      <c r="C129" t="s">
        <v>84</v>
      </c>
      <c r="D129" t="s">
        <v>55</v>
      </c>
      <c r="E129" t="s">
        <v>56</v>
      </c>
      <c r="F129">
        <v>8</v>
      </c>
      <c r="G129">
        <v>29.155454969686971</v>
      </c>
      <c r="H129">
        <v>7.3398505058277053</v>
      </c>
      <c r="I129">
        <v>1.57</v>
      </c>
      <c r="J129">
        <v>1.5</v>
      </c>
      <c r="K129">
        <v>0.84</v>
      </c>
      <c r="L129">
        <v>0.1</v>
      </c>
      <c r="M129">
        <v>10</v>
      </c>
      <c r="N129">
        <v>125</v>
      </c>
      <c r="Q129">
        <v>0.83775804095727824</v>
      </c>
      <c r="R129">
        <v>595711.36772068124</v>
      </c>
      <c r="S129">
        <v>-3.0514185738303289E-3</v>
      </c>
      <c r="T129">
        <v>480.50831710260849</v>
      </c>
      <c r="U129">
        <v>444.12109775950819</v>
      </c>
      <c r="V129">
        <v>106.3071498014621</v>
      </c>
      <c r="W129">
        <v>4.1777161610384939</v>
      </c>
      <c r="X129" t="s">
        <v>57</v>
      </c>
      <c r="Z129">
        <v>429.01499999999999</v>
      </c>
      <c r="AA129">
        <v>95.163399999999996</v>
      </c>
      <c r="AB129">
        <v>65.006200000000007</v>
      </c>
      <c r="AC129">
        <v>16.706877003528231</v>
      </c>
      <c r="AE129">
        <v>95.163399999999996</v>
      </c>
      <c r="AF129" t="s">
        <v>62</v>
      </c>
      <c r="AG129" t="b">
        <v>0</v>
      </c>
      <c r="AH129">
        <v>5.6960615667370389</v>
      </c>
      <c r="AI129">
        <v>424.34300000000002</v>
      </c>
      <c r="AJ129">
        <v>91.310100000000006</v>
      </c>
      <c r="AK129">
        <v>70.096800000000002</v>
      </c>
      <c r="AL129">
        <v>16.139481003861</v>
      </c>
      <c r="AN129">
        <v>91.310100000000006</v>
      </c>
      <c r="AO129" t="s">
        <v>62</v>
      </c>
      <c r="AP129" t="b">
        <v>0</v>
      </c>
      <c r="AQ129">
        <v>5.6575611060948079</v>
      </c>
      <c r="AR129">
        <v>429.01499999999999</v>
      </c>
      <c r="AS129">
        <v>95.163399999999996</v>
      </c>
      <c r="AT129">
        <v>5.6960615667370389</v>
      </c>
      <c r="AU129" s="5">
        <v>71.087059799999992</v>
      </c>
      <c r="AV129" s="5">
        <v>101.53934779999999</v>
      </c>
      <c r="AW129" s="5">
        <v>4.2549579903525681</v>
      </c>
      <c r="AX129" s="5">
        <v>6.07769769170842</v>
      </c>
      <c r="AY129" t="s">
        <v>64</v>
      </c>
      <c r="AZ129" t="s">
        <v>11</v>
      </c>
      <c r="BA129" s="23">
        <f t="shared" si="1"/>
        <v>8.165555070747366E-3</v>
      </c>
      <c r="BB129" s="23">
        <f>IF(AND(ISNUMBER(H129),Metadata!$H$5&gt;Metadata!$G$5),MAX(Metadata!$G$5-H129,0,H129-Metadata!$H$5)/(Metadata!$H$5-Metadata!$G$5),"Missing input")</f>
        <v>0</v>
      </c>
      <c r="BC129" s="23">
        <f>IF(AND(ISNUMBER(L129),Metadata!$H$8&gt;Metadata!$G$8),MAX(Metadata!$G$8-L129,0,L129-Metadata!$H$8)/(Metadata!$H$8-Metadata!$G$8),"Missing input")</f>
        <v>8.165555070747366E-3</v>
      </c>
    </row>
    <row r="130" spans="1:55" x14ac:dyDescent="0.2">
      <c r="A130" t="s">
        <v>200</v>
      </c>
      <c r="B130" t="s">
        <v>191</v>
      </c>
      <c r="C130" t="s">
        <v>84</v>
      </c>
      <c r="D130" t="s">
        <v>55</v>
      </c>
      <c r="E130" t="s">
        <v>56</v>
      </c>
      <c r="F130">
        <v>9</v>
      </c>
      <c r="G130">
        <v>59.748609235827082</v>
      </c>
      <c r="H130">
        <v>37.783512331141722</v>
      </c>
      <c r="I130">
        <v>1.57</v>
      </c>
      <c r="J130">
        <v>1.5</v>
      </c>
      <c r="K130">
        <v>0.84</v>
      </c>
      <c r="L130">
        <v>0.1</v>
      </c>
      <c r="M130">
        <v>10</v>
      </c>
      <c r="N130">
        <v>125</v>
      </c>
      <c r="Q130">
        <v>0.83775804095727824</v>
      </c>
      <c r="R130">
        <v>6726258.2664913209</v>
      </c>
      <c r="S130">
        <v>-5.9473363455464336E-3</v>
      </c>
      <c r="T130">
        <v>2958.9793454838732</v>
      </c>
      <c r="U130">
        <v>560.21064852158486</v>
      </c>
      <c r="V130">
        <v>654.64144811590108</v>
      </c>
      <c r="W130">
        <v>0.85575187781633144</v>
      </c>
      <c r="X130" t="s">
        <v>87</v>
      </c>
      <c r="Z130">
        <v>1165.76</v>
      </c>
      <c r="AA130">
        <v>95.163399999999996</v>
      </c>
      <c r="AB130">
        <v>33.779499999999999</v>
      </c>
      <c r="AC130">
        <v>15.070180237315871</v>
      </c>
      <c r="AD130">
        <v>36.401957298424463</v>
      </c>
      <c r="AE130">
        <v>36.401957298424463</v>
      </c>
      <c r="AF130" t="s">
        <v>58</v>
      </c>
      <c r="AG130" t="b">
        <v>1</v>
      </c>
      <c r="AH130">
        <v>2.4154958152582759</v>
      </c>
      <c r="AI130">
        <v>1161.67</v>
      </c>
      <c r="AJ130">
        <v>91.310100000000006</v>
      </c>
      <c r="AK130">
        <v>33.342399999999998</v>
      </c>
      <c r="AL130">
        <v>14.24435843163316</v>
      </c>
      <c r="AM130">
        <v>35.801646117059548</v>
      </c>
      <c r="AN130">
        <v>35.801646117059548</v>
      </c>
      <c r="AO130" t="s">
        <v>58</v>
      </c>
      <c r="AP130" t="b">
        <v>1</v>
      </c>
      <c r="AQ130">
        <v>2.5133912691745399</v>
      </c>
      <c r="AR130">
        <v>1165.76</v>
      </c>
      <c r="AS130">
        <v>36.401957298424463</v>
      </c>
      <c r="AT130">
        <v>2.5133912691745399</v>
      </c>
      <c r="AU130" s="5" t="s">
        <v>88</v>
      </c>
      <c r="AV130" s="5" t="s">
        <v>88</v>
      </c>
      <c r="AW130" s="5" t="s">
        <v>88</v>
      </c>
      <c r="AX130" s="5" t="s">
        <v>88</v>
      </c>
      <c r="AY130" t="s">
        <v>64</v>
      </c>
      <c r="AZ130" t="s">
        <v>11</v>
      </c>
      <c r="BA130" s="23">
        <f t="shared" ref="BA130:BA193" si="2">IF(COUNT(BB130:BC130)=2,MAX(BB130:BC130),"Missing input")</f>
        <v>8.165555070747366E-3</v>
      </c>
      <c r="BB130" s="23">
        <f>IF(AND(ISNUMBER(H130),Metadata!$H$5&gt;Metadata!$G$5),MAX(Metadata!$G$5-H130,0,H130-Metadata!$H$5)/(Metadata!$H$5-Metadata!$G$5),"Missing input")</f>
        <v>0</v>
      </c>
      <c r="BC130" s="23">
        <f>IF(AND(ISNUMBER(L130),Metadata!$H$8&gt;Metadata!$G$8),MAX(Metadata!$G$8-L130,0,L130-Metadata!$H$8)/(Metadata!$H$8-Metadata!$G$8),"Missing input")</f>
        <v>8.165555070747366E-3</v>
      </c>
    </row>
    <row r="131" spans="1:55" x14ac:dyDescent="0.2">
      <c r="A131" t="s">
        <v>201</v>
      </c>
      <c r="B131" t="s">
        <v>191</v>
      </c>
      <c r="C131" t="s">
        <v>84</v>
      </c>
      <c r="D131" t="s">
        <v>55</v>
      </c>
      <c r="E131" t="s">
        <v>56</v>
      </c>
      <c r="F131">
        <v>10</v>
      </c>
      <c r="G131">
        <v>34.746337553007109</v>
      </c>
      <c r="H131">
        <v>23.7414613202046</v>
      </c>
      <c r="I131">
        <v>1.57</v>
      </c>
      <c r="J131">
        <v>1.5</v>
      </c>
      <c r="K131">
        <v>0.84</v>
      </c>
      <c r="L131">
        <v>0.1</v>
      </c>
      <c r="M131">
        <v>10</v>
      </c>
      <c r="N131">
        <v>125</v>
      </c>
      <c r="Q131">
        <v>0.83775804095727824</v>
      </c>
      <c r="R131">
        <v>2428507.8121004719</v>
      </c>
      <c r="S131">
        <v>-5.2658885035419866E-3</v>
      </c>
      <c r="T131">
        <v>1111.217336052197</v>
      </c>
      <c r="U131">
        <v>468.78354138908878</v>
      </c>
      <c r="V131">
        <v>245.84454337438001</v>
      </c>
      <c r="W131">
        <v>1.9068291488382161</v>
      </c>
      <c r="X131" t="s">
        <v>57</v>
      </c>
      <c r="Z131">
        <v>696.14700000000005</v>
      </c>
      <c r="AA131">
        <v>95.163399999999996</v>
      </c>
      <c r="AB131">
        <v>44.910200000000003</v>
      </c>
      <c r="AC131">
        <v>16.08054436284241</v>
      </c>
      <c r="AD131">
        <v>59.275898174037088</v>
      </c>
      <c r="AE131">
        <v>59.275898174037088</v>
      </c>
      <c r="AF131" t="s">
        <v>58</v>
      </c>
      <c r="AG131" t="b">
        <v>1</v>
      </c>
      <c r="AH131">
        <v>3.6861872854881041</v>
      </c>
      <c r="AI131">
        <v>692.50599999999997</v>
      </c>
      <c r="AJ131">
        <v>91.310100000000006</v>
      </c>
      <c r="AK131">
        <v>46.261299999999999</v>
      </c>
      <c r="AL131">
        <v>15.722678293223559</v>
      </c>
      <c r="AM131">
        <v>58.719472470113089</v>
      </c>
      <c r="AN131">
        <v>58.719472470113089</v>
      </c>
      <c r="AO131" t="s">
        <v>58</v>
      </c>
      <c r="AP131" t="b">
        <v>1</v>
      </c>
      <c r="AQ131">
        <v>3.734699099925046</v>
      </c>
      <c r="AR131">
        <v>696.14700000000005</v>
      </c>
      <c r="AS131">
        <v>59.275898174037088</v>
      </c>
      <c r="AT131">
        <v>3.734699099925046</v>
      </c>
      <c r="AU131" s="5">
        <v>44.279095936005703</v>
      </c>
      <c r="AV131" s="5">
        <v>63.247383351697572</v>
      </c>
      <c r="AW131" s="5">
        <v>2.7898202276440092</v>
      </c>
      <c r="AX131" s="5">
        <v>3.9849239396200238</v>
      </c>
      <c r="AY131" t="s">
        <v>64</v>
      </c>
      <c r="AZ131" t="s">
        <v>11</v>
      </c>
      <c r="BA131" s="23">
        <f t="shared" si="2"/>
        <v>8.165555070747366E-3</v>
      </c>
      <c r="BB131" s="23">
        <f>IF(AND(ISNUMBER(H131),Metadata!$H$5&gt;Metadata!$G$5),MAX(Metadata!$G$5-H131,0,H131-Metadata!$H$5)/(Metadata!$H$5-Metadata!$G$5),"Missing input")</f>
        <v>0</v>
      </c>
      <c r="BC131" s="23">
        <f>IF(AND(ISNUMBER(L131),Metadata!$H$8&gt;Metadata!$G$8),MAX(Metadata!$G$8-L131,0,L131-Metadata!$H$8)/(Metadata!$H$8-Metadata!$G$8),"Missing input")</f>
        <v>8.165555070747366E-3</v>
      </c>
    </row>
    <row r="132" spans="1:55" x14ac:dyDescent="0.2">
      <c r="A132" t="s">
        <v>202</v>
      </c>
      <c r="B132" t="s">
        <v>191</v>
      </c>
      <c r="C132" t="s">
        <v>84</v>
      </c>
      <c r="D132" t="s">
        <v>55</v>
      </c>
      <c r="E132" t="s">
        <v>56</v>
      </c>
      <c r="F132">
        <v>11</v>
      </c>
      <c r="G132">
        <v>24.502161634428251</v>
      </c>
      <c r="H132">
        <v>33.048591474592847</v>
      </c>
      <c r="I132">
        <v>1.57</v>
      </c>
      <c r="J132">
        <v>1.5</v>
      </c>
      <c r="K132">
        <v>0.84</v>
      </c>
      <c r="L132">
        <v>0.1</v>
      </c>
      <c r="M132">
        <v>10</v>
      </c>
      <c r="N132">
        <v>125</v>
      </c>
      <c r="Q132">
        <v>0.83775804095727824</v>
      </c>
      <c r="R132">
        <v>2383007.1153019848</v>
      </c>
      <c r="S132">
        <v>-5.8625821893315304E-3</v>
      </c>
      <c r="T132">
        <v>1134.971999997148</v>
      </c>
      <c r="U132">
        <v>421.72101238830089</v>
      </c>
      <c r="V132">
        <v>251.099999999369</v>
      </c>
      <c r="W132">
        <v>1.6794942747485491</v>
      </c>
      <c r="X132" t="s">
        <v>57</v>
      </c>
      <c r="Z132">
        <v>604.89700000000005</v>
      </c>
      <c r="AA132">
        <v>95.163399999999996</v>
      </c>
      <c r="AB132">
        <v>37.809100000000001</v>
      </c>
      <c r="AC132">
        <v>15.84583615028648</v>
      </c>
      <c r="AD132">
        <v>44.301665742411807</v>
      </c>
      <c r="AE132">
        <v>44.301665742411807</v>
      </c>
      <c r="AF132" t="s">
        <v>58</v>
      </c>
      <c r="AG132" t="b">
        <v>1</v>
      </c>
      <c r="AH132">
        <v>2.7957922398188431</v>
      </c>
      <c r="AI132">
        <v>601.82500000000005</v>
      </c>
      <c r="AJ132">
        <v>91.310100000000006</v>
      </c>
      <c r="AK132">
        <v>37.527799999999999</v>
      </c>
      <c r="AL132">
        <v>15.319729199498569</v>
      </c>
      <c r="AM132">
        <v>42.757187920710301</v>
      </c>
      <c r="AN132">
        <v>42.757187920710301</v>
      </c>
      <c r="AO132" t="s">
        <v>58</v>
      </c>
      <c r="AP132" t="b">
        <v>1</v>
      </c>
      <c r="AQ132">
        <v>2.7909884935896772</v>
      </c>
      <c r="AR132">
        <v>604.89700000000005</v>
      </c>
      <c r="AS132">
        <v>44.301665742411807</v>
      </c>
      <c r="AT132">
        <v>2.7957922398188431</v>
      </c>
      <c r="AU132" s="5">
        <v>33.093344309581617</v>
      </c>
      <c r="AV132" s="5">
        <v>47.269877347153397</v>
      </c>
      <c r="AW132" s="5">
        <v>2.088456803144676</v>
      </c>
      <c r="AX132" s="5">
        <v>2.9831103198867055</v>
      </c>
      <c r="AY132" t="s">
        <v>64</v>
      </c>
      <c r="AZ132" t="s">
        <v>11</v>
      </c>
      <c r="BA132" s="23">
        <f t="shared" si="2"/>
        <v>8.165555070747366E-3</v>
      </c>
      <c r="BB132" s="23">
        <f>IF(AND(ISNUMBER(H132),Metadata!$H$5&gt;Metadata!$G$5),MAX(Metadata!$G$5-H132,0,H132-Metadata!$H$5)/(Metadata!$H$5-Metadata!$G$5),"Missing input")</f>
        <v>0</v>
      </c>
      <c r="BC132" s="23">
        <f>IF(AND(ISNUMBER(L132),Metadata!$H$8&gt;Metadata!$G$8),MAX(Metadata!$G$8-L132,0,L132-Metadata!$H$8)/(Metadata!$H$8-Metadata!$G$8),"Missing input")</f>
        <v>8.165555070747366E-3</v>
      </c>
    </row>
    <row r="133" spans="1:55" x14ac:dyDescent="0.2">
      <c r="A133" t="s">
        <v>203</v>
      </c>
      <c r="B133" t="s">
        <v>191</v>
      </c>
      <c r="C133" t="s">
        <v>84</v>
      </c>
      <c r="D133" t="s">
        <v>55</v>
      </c>
      <c r="E133" t="s">
        <v>56</v>
      </c>
      <c r="F133">
        <v>12</v>
      </c>
      <c r="G133">
        <v>56.241153781572699</v>
      </c>
      <c r="H133">
        <v>14.78764467513273</v>
      </c>
      <c r="I133">
        <v>1.57</v>
      </c>
      <c r="J133">
        <v>1.5</v>
      </c>
      <c r="K133">
        <v>0.84</v>
      </c>
      <c r="L133">
        <v>0.1</v>
      </c>
      <c r="M133">
        <v>10</v>
      </c>
      <c r="N133">
        <v>125</v>
      </c>
      <c r="Q133">
        <v>0.83775804095727824</v>
      </c>
      <c r="R133">
        <v>2448743.9197241841</v>
      </c>
      <c r="S133">
        <v>-4.1502356322731804E-3</v>
      </c>
      <c r="T133">
        <v>1060.8343060705299</v>
      </c>
      <c r="U133">
        <v>548.73631438728785</v>
      </c>
      <c r="V133">
        <v>234.69785532533859</v>
      </c>
      <c r="W133">
        <v>2.33805423414129</v>
      </c>
      <c r="X133" t="s">
        <v>57</v>
      </c>
      <c r="Z133">
        <v>783.07100000000003</v>
      </c>
      <c r="AA133">
        <v>95.163399999999996</v>
      </c>
      <c r="AB133">
        <v>51.296399999999998</v>
      </c>
      <c r="AC133">
        <v>15.11438919890449</v>
      </c>
      <c r="AD133">
        <v>94.783825289374306</v>
      </c>
      <c r="AE133">
        <v>94.783825289374306</v>
      </c>
      <c r="AF133" t="s">
        <v>58</v>
      </c>
      <c r="AG133" t="b">
        <v>1</v>
      </c>
      <c r="AH133">
        <v>6.2710986227775827</v>
      </c>
      <c r="AI133">
        <v>779.61</v>
      </c>
      <c r="AJ133">
        <v>91.310100000000006</v>
      </c>
      <c r="AK133">
        <v>60.512900000000002</v>
      </c>
      <c r="AL133">
        <v>14.77529658634538</v>
      </c>
      <c r="AN133">
        <v>91.310100000000006</v>
      </c>
      <c r="AO133" t="s">
        <v>62</v>
      </c>
      <c r="AP133" t="b">
        <v>0</v>
      </c>
      <c r="AQ133">
        <v>6.1799165564219152</v>
      </c>
      <c r="AR133">
        <v>783.07100000000003</v>
      </c>
      <c r="AS133">
        <v>94.783825289374306</v>
      </c>
      <c r="AT133">
        <v>6.2710986227775827</v>
      </c>
      <c r="AU133" s="5">
        <v>70.803517491162609</v>
      </c>
      <c r="AV133" s="5">
        <v>101.13434158376238</v>
      </c>
      <c r="AW133" s="5">
        <v>4.6845106712148539</v>
      </c>
      <c r="AX133" s="5">
        <v>6.6912622305036802</v>
      </c>
      <c r="AY133" t="s">
        <v>64</v>
      </c>
      <c r="AZ133" t="s">
        <v>11</v>
      </c>
      <c r="BA133" s="23">
        <f t="shared" si="2"/>
        <v>8.165555070747366E-3</v>
      </c>
      <c r="BB133" s="23">
        <f>IF(AND(ISNUMBER(H133),Metadata!$H$5&gt;Metadata!$G$5),MAX(Metadata!$G$5-H133,0,H133-Metadata!$H$5)/(Metadata!$H$5-Metadata!$G$5),"Missing input")</f>
        <v>0</v>
      </c>
      <c r="BC133" s="23">
        <f>IF(AND(ISNUMBER(L133),Metadata!$H$8&gt;Metadata!$G$8),MAX(Metadata!$G$8-L133,0,L133-Metadata!$H$8)/(Metadata!$H$8-Metadata!$G$8),"Missing input")</f>
        <v>8.165555070747366E-3</v>
      </c>
    </row>
    <row r="134" spans="1:55" x14ac:dyDescent="0.2">
      <c r="A134" t="s">
        <v>204</v>
      </c>
      <c r="B134" t="s">
        <v>191</v>
      </c>
      <c r="C134" t="s">
        <v>84</v>
      </c>
      <c r="D134" t="s">
        <v>55</v>
      </c>
      <c r="E134" t="s">
        <v>56</v>
      </c>
      <c r="F134">
        <v>13</v>
      </c>
      <c r="G134">
        <v>49.119901382435643</v>
      </c>
      <c r="H134">
        <v>22.54933477691009</v>
      </c>
      <c r="I134">
        <v>1.57</v>
      </c>
      <c r="J134">
        <v>1.5</v>
      </c>
      <c r="K134">
        <v>0.84</v>
      </c>
      <c r="L134">
        <v>0.1</v>
      </c>
      <c r="M134">
        <v>10</v>
      </c>
      <c r="N134">
        <v>125</v>
      </c>
      <c r="Q134">
        <v>0.83775804095727824</v>
      </c>
      <c r="R134">
        <v>3276584.6264440492</v>
      </c>
      <c r="S134">
        <v>-5.1445719704810164E-3</v>
      </c>
      <c r="T134">
        <v>1412.968799359719</v>
      </c>
      <c r="U134">
        <v>524.28173219173107</v>
      </c>
      <c r="V134">
        <v>312.60371667250428</v>
      </c>
      <c r="W134">
        <v>1.6771449097676241</v>
      </c>
      <c r="X134" t="s">
        <v>57</v>
      </c>
      <c r="Z134">
        <v>864.53399999999999</v>
      </c>
      <c r="AA134">
        <v>95.163399999999996</v>
      </c>
      <c r="AB134">
        <v>48.565199999999997</v>
      </c>
      <c r="AC134">
        <v>15.727144260981079</v>
      </c>
      <c r="AD134">
        <v>61.91315126417431</v>
      </c>
      <c r="AE134">
        <v>61.91315126417431</v>
      </c>
      <c r="AF134" t="s">
        <v>58</v>
      </c>
      <c r="AG134" t="b">
        <v>1</v>
      </c>
      <c r="AH134">
        <v>3.9367065143403268</v>
      </c>
      <c r="AI134">
        <v>860.59199999999998</v>
      </c>
      <c r="AJ134">
        <v>91.310100000000006</v>
      </c>
      <c r="AK134">
        <v>48.665900000000001</v>
      </c>
      <c r="AL134">
        <v>15.44521942931258</v>
      </c>
      <c r="AM134">
        <v>61.689876889225893</v>
      </c>
      <c r="AN134">
        <v>61.689876889225893</v>
      </c>
      <c r="AO134" t="s">
        <v>58</v>
      </c>
      <c r="AP134" t="b">
        <v>1</v>
      </c>
      <c r="AQ134">
        <v>3.994108155702099</v>
      </c>
      <c r="AR134">
        <v>864.53399999999999</v>
      </c>
      <c r="AS134">
        <v>61.91315126417431</v>
      </c>
      <c r="AT134">
        <v>3.994108155702099</v>
      </c>
      <c r="AU134" s="5">
        <v>46.249123994338213</v>
      </c>
      <c r="AV134" s="5">
        <v>66.061332398873986</v>
      </c>
      <c r="AW134" s="5">
        <v>2.983598792309468</v>
      </c>
      <c r="AX134" s="5">
        <v>4.2617134021341396</v>
      </c>
      <c r="AY134" t="s">
        <v>64</v>
      </c>
      <c r="AZ134" t="s">
        <v>11</v>
      </c>
      <c r="BA134" s="23">
        <f t="shared" si="2"/>
        <v>8.165555070747366E-3</v>
      </c>
      <c r="BB134" s="23">
        <f>IF(AND(ISNUMBER(H134),Metadata!$H$5&gt;Metadata!$G$5),MAX(Metadata!$G$5-H134,0,H134-Metadata!$H$5)/(Metadata!$H$5-Metadata!$G$5),"Missing input")</f>
        <v>0</v>
      </c>
      <c r="BC134" s="23">
        <f>IF(AND(ISNUMBER(L134),Metadata!$H$8&gt;Metadata!$G$8),MAX(Metadata!$G$8-L134,0,L134-Metadata!$H$8)/(Metadata!$H$8-Metadata!$G$8),"Missing input")</f>
        <v>8.165555070747366E-3</v>
      </c>
    </row>
    <row r="135" spans="1:55" x14ac:dyDescent="0.2">
      <c r="A135" t="s">
        <v>205</v>
      </c>
      <c r="B135" t="s">
        <v>191</v>
      </c>
      <c r="C135" t="s">
        <v>84</v>
      </c>
      <c r="D135" t="s">
        <v>55</v>
      </c>
      <c r="E135" t="s">
        <v>56</v>
      </c>
      <c r="F135">
        <v>14</v>
      </c>
      <c r="G135">
        <v>37.958866376576751</v>
      </c>
      <c r="H135">
        <v>9.8264864335603903</v>
      </c>
      <c r="I135">
        <v>1.57</v>
      </c>
      <c r="J135">
        <v>1.5</v>
      </c>
      <c r="K135">
        <v>0.84</v>
      </c>
      <c r="L135">
        <v>0.1</v>
      </c>
      <c r="M135">
        <v>10</v>
      </c>
      <c r="N135">
        <v>125</v>
      </c>
      <c r="Q135">
        <v>0.83775804095727824</v>
      </c>
      <c r="R135">
        <v>1072728.181448289</v>
      </c>
      <c r="S135">
        <v>-3.4153477535657801E-3</v>
      </c>
      <c r="T135">
        <v>610.81355109044614</v>
      </c>
      <c r="U135">
        <v>482.05949882627681</v>
      </c>
      <c r="V135">
        <v>135.13574139169171</v>
      </c>
      <c r="W135">
        <v>3.567224287681412</v>
      </c>
      <c r="X135" t="s">
        <v>57</v>
      </c>
      <c r="Z135">
        <v>527.62599999999998</v>
      </c>
      <c r="AA135">
        <v>95.163399999999996</v>
      </c>
      <c r="AB135">
        <v>65.006200000000007</v>
      </c>
      <c r="AC135">
        <v>16.02239289835774</v>
      </c>
      <c r="AE135">
        <v>95.163399999999996</v>
      </c>
      <c r="AF135" t="s">
        <v>62</v>
      </c>
      <c r="AG135" t="b">
        <v>0</v>
      </c>
      <c r="AH135">
        <v>5.9393999762516128</v>
      </c>
      <c r="AI135">
        <v>523.6</v>
      </c>
      <c r="AJ135">
        <v>91.310100000000006</v>
      </c>
      <c r="AK135">
        <v>64.811499999999995</v>
      </c>
      <c r="AL135">
        <v>15.52991113784806</v>
      </c>
      <c r="AN135">
        <v>91.310100000000006</v>
      </c>
      <c r="AO135" t="s">
        <v>62</v>
      </c>
      <c r="AP135" t="b">
        <v>0</v>
      </c>
      <c r="AQ135">
        <v>5.8796279765869031</v>
      </c>
      <c r="AR135">
        <v>527.62599999999998</v>
      </c>
      <c r="AS135">
        <v>95.163399999999996</v>
      </c>
      <c r="AT135">
        <v>5.9393999762516128</v>
      </c>
      <c r="AU135" s="5">
        <v>71.087059799999992</v>
      </c>
      <c r="AV135" s="5">
        <v>101.53934779999999</v>
      </c>
      <c r="AW135" s="5">
        <v>4.4367317822599546</v>
      </c>
      <c r="AX135" s="5">
        <v>6.3373397746604709</v>
      </c>
      <c r="AY135" t="s">
        <v>64</v>
      </c>
      <c r="AZ135" t="s">
        <v>11</v>
      </c>
      <c r="BA135" s="23">
        <f t="shared" si="2"/>
        <v>8.165555070747366E-3</v>
      </c>
      <c r="BB135" s="23">
        <f>IF(AND(ISNUMBER(H135),Metadata!$H$5&gt;Metadata!$G$5),MAX(Metadata!$G$5-H135,0,H135-Metadata!$H$5)/(Metadata!$H$5-Metadata!$G$5),"Missing input")</f>
        <v>0</v>
      </c>
      <c r="BC135" s="23">
        <f>IF(AND(ISNUMBER(L135),Metadata!$H$8&gt;Metadata!$G$8),MAX(Metadata!$G$8-L135,0,L135-Metadata!$H$8)/(Metadata!$H$8-Metadata!$G$8),"Missing input")</f>
        <v>8.165555070747366E-3</v>
      </c>
    </row>
    <row r="136" spans="1:55" x14ac:dyDescent="0.2">
      <c r="A136" t="s">
        <v>206</v>
      </c>
      <c r="B136" t="s">
        <v>191</v>
      </c>
      <c r="C136" t="s">
        <v>84</v>
      </c>
      <c r="D136" t="s">
        <v>55</v>
      </c>
      <c r="E136" t="s">
        <v>56</v>
      </c>
      <c r="F136">
        <v>15</v>
      </c>
      <c r="G136">
        <v>27.308053040943211</v>
      </c>
      <c r="H136">
        <v>5.2772178758296739</v>
      </c>
      <c r="I136">
        <v>1.57</v>
      </c>
      <c r="J136">
        <v>1.5</v>
      </c>
      <c r="K136">
        <v>0.84</v>
      </c>
      <c r="L136">
        <v>0.1</v>
      </c>
      <c r="M136">
        <v>10</v>
      </c>
      <c r="N136">
        <v>125</v>
      </c>
      <c r="Q136">
        <v>0.83775804095727824</v>
      </c>
      <c r="R136">
        <v>386052.96198531118</v>
      </c>
      <c r="S136">
        <v>-2.7618142351148638E-3</v>
      </c>
      <c r="T136">
        <v>428.52672237905682</v>
      </c>
      <c r="U136">
        <v>435.45883999936581</v>
      </c>
      <c r="V136">
        <v>94.806796986516986</v>
      </c>
      <c r="W136">
        <v>4.5931183611370701</v>
      </c>
      <c r="X136" t="s">
        <v>57</v>
      </c>
      <c r="Z136">
        <v>388.68099999999998</v>
      </c>
      <c r="AA136">
        <v>95.163399999999996</v>
      </c>
      <c r="AB136">
        <v>51.296399999999998</v>
      </c>
      <c r="AC136">
        <v>17.000777133676088</v>
      </c>
      <c r="AE136">
        <v>95.163399999999996</v>
      </c>
      <c r="AF136" t="s">
        <v>62</v>
      </c>
      <c r="AG136" t="b">
        <v>0</v>
      </c>
      <c r="AH136">
        <v>5.5975911719644271</v>
      </c>
      <c r="AI136">
        <v>384.57600000000002</v>
      </c>
      <c r="AJ136">
        <v>91.310100000000006</v>
      </c>
      <c r="AK136">
        <v>32.289299999999997</v>
      </c>
      <c r="AL136">
        <v>16.385296185607551</v>
      </c>
      <c r="AN136">
        <v>91.310100000000006</v>
      </c>
      <c r="AO136" t="s">
        <v>62</v>
      </c>
      <c r="AP136" t="b">
        <v>0</v>
      </c>
      <c r="AQ136">
        <v>5.5726853494540176</v>
      </c>
      <c r="AR136">
        <v>388.68099999999998</v>
      </c>
      <c r="AS136">
        <v>95.163399999999996</v>
      </c>
      <c r="AT136">
        <v>5.5975911719644271</v>
      </c>
      <c r="AU136" s="5">
        <v>71.087059799999992</v>
      </c>
      <c r="AV136" s="5">
        <v>101.53934779999999</v>
      </c>
      <c r="AW136" s="5">
        <v>4.1814006054574273</v>
      </c>
      <c r="AX136" s="5">
        <v>5.9726297804860433</v>
      </c>
      <c r="AY136" t="s">
        <v>64</v>
      </c>
      <c r="AZ136" t="s">
        <v>11</v>
      </c>
      <c r="BA136" s="23">
        <f t="shared" si="2"/>
        <v>8.165555070747366E-3</v>
      </c>
      <c r="BB136" s="23">
        <f>IF(AND(ISNUMBER(H136),Metadata!$H$5&gt;Metadata!$G$5),MAX(Metadata!$G$5-H136,0,H136-Metadata!$H$5)/(Metadata!$H$5-Metadata!$G$5),"Missing input")</f>
        <v>0</v>
      </c>
      <c r="BC136" s="23">
        <f>IF(AND(ISNUMBER(L136),Metadata!$H$8&gt;Metadata!$G$8),MAX(Metadata!$G$8-L136,0,L136-Metadata!$H$8)/(Metadata!$H$8-Metadata!$G$8),"Missing input")</f>
        <v>8.165555070747366E-3</v>
      </c>
    </row>
    <row r="137" spans="1:55" x14ac:dyDescent="0.2">
      <c r="A137" t="s">
        <v>207</v>
      </c>
      <c r="B137" t="s">
        <v>191</v>
      </c>
      <c r="C137" t="s">
        <v>84</v>
      </c>
      <c r="D137" t="s">
        <v>55</v>
      </c>
      <c r="E137" t="s">
        <v>56</v>
      </c>
      <c r="F137">
        <v>16</v>
      </c>
      <c r="G137">
        <v>31.1252119640606</v>
      </c>
      <c r="H137">
        <v>39.5069074866867</v>
      </c>
      <c r="I137">
        <v>1.57</v>
      </c>
      <c r="J137">
        <v>1.5</v>
      </c>
      <c r="K137">
        <v>0.84</v>
      </c>
      <c r="L137">
        <v>0.1</v>
      </c>
      <c r="M137">
        <v>10</v>
      </c>
      <c r="N137">
        <v>125</v>
      </c>
      <c r="Q137">
        <v>0.83775804095727824</v>
      </c>
      <c r="R137">
        <v>3642703.933702969</v>
      </c>
      <c r="S137">
        <v>-5.9479337856766451E-3</v>
      </c>
      <c r="T137">
        <v>1657.5346780090949</v>
      </c>
      <c r="U137">
        <v>453.05985444637901</v>
      </c>
      <c r="V137">
        <v>366.71121194891492</v>
      </c>
      <c r="W137">
        <v>1.235467691425516</v>
      </c>
      <c r="X137" t="s">
        <v>57</v>
      </c>
      <c r="Z137">
        <v>719.67899999999997</v>
      </c>
      <c r="AA137">
        <v>95.163399999999996</v>
      </c>
      <c r="AB137">
        <v>32.772100000000002</v>
      </c>
      <c r="AC137">
        <v>14.530054988282551</v>
      </c>
      <c r="AD137">
        <v>36.522395029993213</v>
      </c>
      <c r="AE137">
        <v>36.522395029993213</v>
      </c>
      <c r="AF137" t="s">
        <v>58</v>
      </c>
      <c r="AG137" t="b">
        <v>1</v>
      </c>
      <c r="AH137">
        <v>2.5135758301978819</v>
      </c>
      <c r="AI137">
        <v>720.74699999999996</v>
      </c>
      <c r="AJ137">
        <v>91.310100000000006</v>
      </c>
      <c r="AK137">
        <v>32.289299999999997</v>
      </c>
      <c r="AL137">
        <v>13.94115203392168</v>
      </c>
      <c r="AM137">
        <v>35.884660491248113</v>
      </c>
      <c r="AN137">
        <v>35.884660491248113</v>
      </c>
      <c r="AO137" t="s">
        <v>58</v>
      </c>
      <c r="AP137" t="b">
        <v>1</v>
      </c>
      <c r="AQ137">
        <v>2.5740096947464162</v>
      </c>
      <c r="AR137">
        <v>720.74699999999996</v>
      </c>
      <c r="AS137">
        <v>36.522395029993213</v>
      </c>
      <c r="AT137">
        <v>2.5740096947464162</v>
      </c>
      <c r="AU137" s="5">
        <v>27.282229087404929</v>
      </c>
      <c r="AV137" s="5">
        <v>38.969395497002758</v>
      </c>
      <c r="AW137" s="5">
        <v>1.9227852419755729</v>
      </c>
      <c r="AX137" s="5">
        <v>2.746468344294426</v>
      </c>
      <c r="AY137" t="s">
        <v>64</v>
      </c>
      <c r="AZ137" t="s">
        <v>11</v>
      </c>
      <c r="BA137" s="23">
        <f t="shared" si="2"/>
        <v>8.165555070747366E-3</v>
      </c>
      <c r="BB137" s="23">
        <f>IF(AND(ISNUMBER(H137),Metadata!$H$5&gt;Metadata!$G$5),MAX(Metadata!$G$5-H137,0,H137-Metadata!$H$5)/(Metadata!$H$5-Metadata!$G$5),"Missing input")</f>
        <v>0</v>
      </c>
      <c r="BC137" s="23">
        <f>IF(AND(ISNUMBER(L137),Metadata!$H$8&gt;Metadata!$G$8),MAX(Metadata!$G$8-L137,0,L137-Metadata!$H$8)/(Metadata!$H$8-Metadata!$G$8),"Missing input")</f>
        <v>8.165555070747366E-3</v>
      </c>
    </row>
    <row r="138" spans="1:55" x14ac:dyDescent="0.2">
      <c r="A138" t="s">
        <v>208</v>
      </c>
      <c r="B138" t="s">
        <v>191</v>
      </c>
      <c r="C138" t="s">
        <v>84</v>
      </c>
      <c r="D138" t="s">
        <v>55</v>
      </c>
      <c r="E138" t="s">
        <v>56</v>
      </c>
      <c r="F138">
        <v>17</v>
      </c>
      <c r="G138">
        <v>46.390186033042063</v>
      </c>
      <c r="H138">
        <v>16.21387510983789</v>
      </c>
      <c r="I138">
        <v>1.57</v>
      </c>
      <c r="J138">
        <v>1.5</v>
      </c>
      <c r="K138">
        <v>0.84</v>
      </c>
      <c r="L138">
        <v>0.1</v>
      </c>
      <c r="M138">
        <v>10</v>
      </c>
      <c r="N138">
        <v>125</v>
      </c>
      <c r="Q138">
        <v>0.83775804095727824</v>
      </c>
      <c r="R138">
        <v>2210215.3729856689</v>
      </c>
      <c r="S138">
        <v>-4.3537354445618544E-3</v>
      </c>
      <c r="T138">
        <v>992.19235058261199</v>
      </c>
      <c r="U138">
        <v>514.44088249396839</v>
      </c>
      <c r="V138">
        <v>219.5115819873036</v>
      </c>
      <c r="W138">
        <v>2.3435705662388391</v>
      </c>
      <c r="X138" t="s">
        <v>57</v>
      </c>
      <c r="Z138">
        <v>721.73900000000003</v>
      </c>
      <c r="AA138">
        <v>95.163399999999996</v>
      </c>
      <c r="AB138">
        <v>51.296399999999998</v>
      </c>
      <c r="AC138">
        <v>15.551721527777779</v>
      </c>
      <c r="AD138">
        <v>87.514328312694488</v>
      </c>
      <c r="AE138">
        <v>87.514328312694488</v>
      </c>
      <c r="AF138" t="s">
        <v>58</v>
      </c>
      <c r="AG138" t="b">
        <v>1</v>
      </c>
      <c r="AH138">
        <v>5.6273080865279379</v>
      </c>
      <c r="AI138">
        <v>715.35599999999999</v>
      </c>
      <c r="AJ138">
        <v>91.310100000000006</v>
      </c>
      <c r="AK138">
        <v>51.757599999999996</v>
      </c>
      <c r="AL138">
        <v>15.039399941331769</v>
      </c>
      <c r="AM138">
        <v>87.294600935041302</v>
      </c>
      <c r="AN138">
        <v>87.294600935041302</v>
      </c>
      <c r="AO138" t="s">
        <v>58</v>
      </c>
      <c r="AP138" t="b">
        <v>1</v>
      </c>
      <c r="AQ138">
        <v>5.8043938771210826</v>
      </c>
      <c r="AR138">
        <v>721.73900000000003</v>
      </c>
      <c r="AS138">
        <v>87.514328312694488</v>
      </c>
      <c r="AT138">
        <v>5.8043938771210826</v>
      </c>
      <c r="AU138" s="5">
        <v>65.373203249582787</v>
      </c>
      <c r="AV138" s="5">
        <v>93.377788309645013</v>
      </c>
      <c r="AW138" s="5">
        <v>4.3358822262094483</v>
      </c>
      <c r="AX138" s="5">
        <v>6.193288266888195</v>
      </c>
      <c r="AY138" t="s">
        <v>64</v>
      </c>
      <c r="AZ138" t="s">
        <v>11</v>
      </c>
      <c r="BA138" s="23">
        <f t="shared" si="2"/>
        <v>8.165555070747366E-3</v>
      </c>
      <c r="BB138" s="23">
        <f>IF(AND(ISNUMBER(H138),Metadata!$H$5&gt;Metadata!$G$5),MAX(Metadata!$G$5-H138,0,H138-Metadata!$H$5)/(Metadata!$H$5-Metadata!$G$5),"Missing input")</f>
        <v>0</v>
      </c>
      <c r="BC138" s="23">
        <f>IF(AND(ISNUMBER(L138),Metadata!$H$8&gt;Metadata!$G$8),MAX(Metadata!$G$8-L138,0,L138-Metadata!$H$8)/(Metadata!$H$8-Metadata!$G$8),"Missing input")</f>
        <v>8.165555070747366E-3</v>
      </c>
    </row>
    <row r="139" spans="1:55" x14ac:dyDescent="0.2">
      <c r="A139" t="s">
        <v>209</v>
      </c>
      <c r="B139" t="s">
        <v>191</v>
      </c>
      <c r="C139" t="s">
        <v>84</v>
      </c>
      <c r="D139" t="s">
        <v>55</v>
      </c>
      <c r="E139" t="s">
        <v>56</v>
      </c>
      <c r="F139">
        <v>18</v>
      </c>
      <c r="G139">
        <v>54.165408264435399</v>
      </c>
      <c r="H139">
        <v>18.25275816413232</v>
      </c>
      <c r="I139">
        <v>1.57</v>
      </c>
      <c r="J139">
        <v>1.5</v>
      </c>
      <c r="K139">
        <v>0.84</v>
      </c>
      <c r="L139">
        <v>0.1</v>
      </c>
      <c r="M139">
        <v>10</v>
      </c>
      <c r="N139">
        <v>125</v>
      </c>
      <c r="Q139">
        <v>0.83775804095727824</v>
      </c>
      <c r="R139">
        <v>2919725.6187367002</v>
      </c>
      <c r="S139">
        <v>-4.6314340258146666E-3</v>
      </c>
      <c r="T139">
        <v>1250.244632367107</v>
      </c>
      <c r="U139">
        <v>541.77660095197996</v>
      </c>
      <c r="V139">
        <v>276.6027947714839</v>
      </c>
      <c r="W139">
        <v>1.9586808636534929</v>
      </c>
      <c r="X139" t="s">
        <v>57</v>
      </c>
      <c r="Z139">
        <v>844.72299999999996</v>
      </c>
      <c r="AA139">
        <v>95.163399999999996</v>
      </c>
      <c r="AB139">
        <v>51.296399999999998</v>
      </c>
      <c r="AC139">
        <v>15.44661336867863</v>
      </c>
      <c r="AD139">
        <v>77.864140246471962</v>
      </c>
      <c r="AE139">
        <v>77.864140246471962</v>
      </c>
      <c r="AF139" t="s">
        <v>58</v>
      </c>
      <c r="AG139" t="b">
        <v>1</v>
      </c>
      <c r="AH139">
        <v>5.040855130378187</v>
      </c>
      <c r="AI139">
        <v>838.85500000000002</v>
      </c>
      <c r="AJ139">
        <v>91.310100000000006</v>
      </c>
      <c r="AK139">
        <v>51.757599999999996</v>
      </c>
      <c r="AL139">
        <v>15.105380838627701</v>
      </c>
      <c r="AM139">
        <v>77.716771910641228</v>
      </c>
      <c r="AN139">
        <v>77.716771910641228</v>
      </c>
      <c r="AO139" t="s">
        <v>58</v>
      </c>
      <c r="AP139" t="b">
        <v>1</v>
      </c>
      <c r="AQ139">
        <v>5.1449726915790679</v>
      </c>
      <c r="AR139">
        <v>844.72299999999996</v>
      </c>
      <c r="AS139">
        <v>77.864140246471962</v>
      </c>
      <c r="AT139">
        <v>5.1449726915790679</v>
      </c>
      <c r="AU139" s="5">
        <v>58.164512764114555</v>
      </c>
      <c r="AV139" s="5">
        <v>83.081037642985578</v>
      </c>
      <c r="AW139" s="5">
        <v>3.8432946006095636</v>
      </c>
      <c r="AX139" s="5">
        <v>5.4896858619148654</v>
      </c>
      <c r="AY139" t="s">
        <v>64</v>
      </c>
      <c r="AZ139" t="s">
        <v>11</v>
      </c>
      <c r="BA139" s="23">
        <f t="shared" si="2"/>
        <v>8.165555070747366E-3</v>
      </c>
      <c r="BB139" s="23">
        <f>IF(AND(ISNUMBER(H139),Metadata!$H$5&gt;Metadata!$G$5),MAX(Metadata!$G$5-H139,0,H139-Metadata!$H$5)/(Metadata!$H$5-Metadata!$G$5),"Missing input")</f>
        <v>0</v>
      </c>
      <c r="BC139" s="23">
        <f>IF(AND(ISNUMBER(L139),Metadata!$H$8&gt;Metadata!$G$8),MAX(Metadata!$G$8-L139,0,L139-Metadata!$H$8)/(Metadata!$H$8-Metadata!$G$8),"Missing input")</f>
        <v>8.165555070747366E-3</v>
      </c>
    </row>
    <row r="140" spans="1:55" x14ac:dyDescent="0.2">
      <c r="A140" t="s">
        <v>210</v>
      </c>
      <c r="B140" t="s">
        <v>191</v>
      </c>
      <c r="C140" t="s">
        <v>84</v>
      </c>
      <c r="D140" t="s">
        <v>55</v>
      </c>
      <c r="E140" t="s">
        <v>56</v>
      </c>
      <c r="F140">
        <v>19</v>
      </c>
      <c r="G140">
        <v>21.707483118551171</v>
      </c>
      <c r="H140">
        <v>43.497365085878002</v>
      </c>
      <c r="I140">
        <v>1.57</v>
      </c>
      <c r="J140">
        <v>1.5</v>
      </c>
      <c r="K140">
        <v>0.84</v>
      </c>
      <c r="L140">
        <v>0.1</v>
      </c>
      <c r="M140">
        <v>10</v>
      </c>
      <c r="N140">
        <v>125</v>
      </c>
      <c r="Q140">
        <v>0.83775804095727824</v>
      </c>
      <c r="R140">
        <v>2786376.2799094608</v>
      </c>
      <c r="S140">
        <v>-5.895918280551804E-3</v>
      </c>
      <c r="T140">
        <v>1327.844178866673</v>
      </c>
      <c r="U140">
        <v>407.23129630568639</v>
      </c>
      <c r="V140">
        <v>293.77083603244972</v>
      </c>
      <c r="W140">
        <v>1.386220980290582</v>
      </c>
      <c r="X140" t="s">
        <v>57</v>
      </c>
      <c r="Z140">
        <v>571.63300000000004</v>
      </c>
      <c r="AA140">
        <v>95.163399999999996</v>
      </c>
      <c r="AB140">
        <v>31.0091</v>
      </c>
      <c r="AC140">
        <v>14.399840980432129</v>
      </c>
      <c r="AD140">
        <v>35.092216972497248</v>
      </c>
      <c r="AE140">
        <v>35.092216972497248</v>
      </c>
      <c r="AF140" t="s">
        <v>58</v>
      </c>
      <c r="AG140" t="b">
        <v>1</v>
      </c>
      <c r="AH140">
        <v>2.4369864236823089</v>
      </c>
      <c r="AI140">
        <v>577.28499999999997</v>
      </c>
      <c r="AJ140">
        <v>91.310100000000006</v>
      </c>
      <c r="AK140">
        <v>31.860600000000002</v>
      </c>
      <c r="AL140">
        <v>13.995662893028021</v>
      </c>
      <c r="AM140">
        <v>34.016263223140498</v>
      </c>
      <c r="AN140">
        <v>34.016263223140498</v>
      </c>
      <c r="AO140" t="s">
        <v>58</v>
      </c>
      <c r="AP140" t="b">
        <v>1</v>
      </c>
      <c r="AQ140">
        <v>2.43048603579083</v>
      </c>
      <c r="AR140">
        <v>577.28499999999997</v>
      </c>
      <c r="AS140">
        <v>35.092216972497248</v>
      </c>
      <c r="AT140">
        <v>2.4369864236823089</v>
      </c>
      <c r="AU140" s="5">
        <v>26.213886078455445</v>
      </c>
      <c r="AV140" s="5">
        <v>37.443395509654565</v>
      </c>
      <c r="AW140" s="5">
        <v>1.8204288584906847</v>
      </c>
      <c r="AX140" s="5">
        <v>2.6002645140690235</v>
      </c>
      <c r="AY140" t="s">
        <v>64</v>
      </c>
      <c r="AZ140" t="s">
        <v>194</v>
      </c>
      <c r="BA140" s="23">
        <f t="shared" si="2"/>
        <v>9.4596678167087334E-2</v>
      </c>
      <c r="BB140" s="23">
        <f>IF(AND(ISNUMBER(H140),Metadata!$H$5&gt;Metadata!$G$5),MAX(Metadata!$G$5-H140,0,H140-Metadata!$H$5)/(Metadata!$H$5-Metadata!$G$5),"Missing input")</f>
        <v>9.4596678167087334E-2</v>
      </c>
      <c r="BC140" s="23">
        <f>IF(AND(ISNUMBER(L140),Metadata!$H$8&gt;Metadata!$G$8),MAX(Metadata!$G$8-L140,0,L140-Metadata!$H$8)/(Metadata!$H$8-Metadata!$G$8),"Missing input")</f>
        <v>8.165555070747366E-3</v>
      </c>
    </row>
    <row r="141" spans="1:55" x14ac:dyDescent="0.2">
      <c r="A141" t="s">
        <v>211</v>
      </c>
      <c r="B141" t="s">
        <v>191</v>
      </c>
      <c r="C141" t="s">
        <v>84</v>
      </c>
      <c r="D141" t="s">
        <v>55</v>
      </c>
      <c r="E141" t="s">
        <v>56</v>
      </c>
      <c r="F141">
        <v>20</v>
      </c>
      <c r="G141">
        <v>53.035991243371583</v>
      </c>
      <c r="H141">
        <v>30.34654288470276</v>
      </c>
      <c r="I141">
        <v>1.57</v>
      </c>
      <c r="J141">
        <v>1.5</v>
      </c>
      <c r="K141">
        <v>0.84</v>
      </c>
      <c r="L141">
        <v>0.1</v>
      </c>
      <c r="M141">
        <v>10</v>
      </c>
      <c r="N141">
        <v>125</v>
      </c>
      <c r="Q141">
        <v>0.83775804095727824</v>
      </c>
      <c r="R141">
        <v>4782098.2730990862</v>
      </c>
      <c r="S141">
        <v>-5.7522752516017536E-3</v>
      </c>
      <c r="T141">
        <v>2064.392118408005</v>
      </c>
      <c r="U141">
        <v>537.93373152782192</v>
      </c>
      <c r="V141">
        <v>456.72392000177121</v>
      </c>
      <c r="W141">
        <v>1.177809411702667</v>
      </c>
      <c r="X141" t="s">
        <v>57</v>
      </c>
      <c r="Z141">
        <v>1011.48</v>
      </c>
      <c r="AA141">
        <v>95.163399999999996</v>
      </c>
      <c r="AB141">
        <v>39.830100000000002</v>
      </c>
      <c r="AC141">
        <v>15.464003828125</v>
      </c>
      <c r="AD141">
        <v>45.015872375057718</v>
      </c>
      <c r="AE141">
        <v>45.015872375057718</v>
      </c>
      <c r="AF141" t="s">
        <v>58</v>
      </c>
      <c r="AG141" t="b">
        <v>1</v>
      </c>
      <c r="AH141">
        <v>2.911010167572873</v>
      </c>
      <c r="AI141">
        <v>1012.56</v>
      </c>
      <c r="AJ141">
        <v>91.310100000000006</v>
      </c>
      <c r="AK141">
        <v>39.358900000000013</v>
      </c>
      <c r="AL141">
        <v>15.115141546304161</v>
      </c>
      <c r="AM141">
        <v>44.683466617294457</v>
      </c>
      <c r="AN141">
        <v>44.683466617294457</v>
      </c>
      <c r="AO141" t="s">
        <v>58</v>
      </c>
      <c r="AP141" t="b">
        <v>1</v>
      </c>
      <c r="AQ141">
        <v>2.9562056352836552</v>
      </c>
      <c r="AR141">
        <v>1012.56</v>
      </c>
      <c r="AS141">
        <v>45.015872375057718</v>
      </c>
      <c r="AT141">
        <v>2.9562056352836552</v>
      </c>
      <c r="AU141" s="5">
        <v>33.626856664168116</v>
      </c>
      <c r="AV141" s="5">
        <v>48.031935824186583</v>
      </c>
      <c r="AW141" s="5">
        <v>2.2082856095568903</v>
      </c>
      <c r="AX141" s="5">
        <v>3.1542714128476601</v>
      </c>
      <c r="AY141" t="s">
        <v>64</v>
      </c>
      <c r="AZ141" t="s">
        <v>11</v>
      </c>
      <c r="BA141" s="23">
        <f t="shared" si="2"/>
        <v>8.165555070747366E-3</v>
      </c>
      <c r="BB141" s="23">
        <f>IF(AND(ISNUMBER(H141),Metadata!$H$5&gt;Metadata!$G$5),MAX(Metadata!$G$5-H141,0,H141-Metadata!$H$5)/(Metadata!$H$5-Metadata!$G$5),"Missing input")</f>
        <v>0</v>
      </c>
      <c r="BC141" s="23">
        <f>IF(AND(ISNUMBER(L141),Metadata!$H$8&gt;Metadata!$G$8),MAX(Metadata!$G$8-L141,0,L141-Metadata!$H$8)/(Metadata!$H$8-Metadata!$G$8),"Missing input")</f>
        <v>8.165555070747366E-3</v>
      </c>
    </row>
    <row r="142" spans="1:55" x14ac:dyDescent="0.2">
      <c r="A142" t="s">
        <v>212</v>
      </c>
      <c r="B142" t="s">
        <v>213</v>
      </c>
      <c r="C142" t="s">
        <v>84</v>
      </c>
      <c r="D142" t="s">
        <v>55</v>
      </c>
      <c r="E142" t="s">
        <v>56</v>
      </c>
      <c r="F142">
        <v>1</v>
      </c>
      <c r="G142">
        <v>22.11413992487228</v>
      </c>
      <c r="H142">
        <v>28.832065765515338</v>
      </c>
      <c r="I142">
        <v>1.57</v>
      </c>
      <c r="J142">
        <v>1.5</v>
      </c>
      <c r="K142">
        <v>0.95</v>
      </c>
      <c r="L142">
        <v>0.15</v>
      </c>
      <c r="M142">
        <v>10</v>
      </c>
      <c r="N142">
        <v>110</v>
      </c>
      <c r="Q142">
        <v>0.95199777381508888</v>
      </c>
      <c r="R142">
        <v>1866510.334985178</v>
      </c>
      <c r="S142">
        <v>-6.0184435156548297E-3</v>
      </c>
      <c r="T142">
        <v>931.93139645531812</v>
      </c>
      <c r="U142">
        <v>496.95036336253668</v>
      </c>
      <c r="V142">
        <v>206.1795124901146</v>
      </c>
      <c r="W142">
        <v>2.4102800387907761</v>
      </c>
      <c r="X142" t="s">
        <v>57</v>
      </c>
      <c r="Z142">
        <v>559.81799999999998</v>
      </c>
      <c r="AA142">
        <v>95.163399999999996</v>
      </c>
      <c r="AB142">
        <v>41.921900000000001</v>
      </c>
      <c r="AC142">
        <v>16.863723764534878</v>
      </c>
      <c r="AD142">
        <v>51.389309503575198</v>
      </c>
      <c r="AE142">
        <v>51.389309503575198</v>
      </c>
      <c r="AF142" t="s">
        <v>58</v>
      </c>
      <c r="AG142" t="b">
        <v>1</v>
      </c>
      <c r="AH142">
        <v>3.0473287051611382</v>
      </c>
      <c r="AI142">
        <v>557.84400000000005</v>
      </c>
      <c r="AJ142">
        <v>91.310100000000006</v>
      </c>
      <c r="AK142">
        <v>39.358900000000013</v>
      </c>
      <c r="AL142">
        <v>16.525123390894819</v>
      </c>
      <c r="AM142">
        <v>51.769688794191367</v>
      </c>
      <c r="AN142">
        <v>51.769688794191367</v>
      </c>
      <c r="AO142" t="s">
        <v>58</v>
      </c>
      <c r="AP142" t="b">
        <v>1</v>
      </c>
      <c r="AQ142">
        <v>3.1327868221980091</v>
      </c>
      <c r="AR142">
        <v>559.81799999999998</v>
      </c>
      <c r="AS142">
        <v>51.769688794191367</v>
      </c>
      <c r="AT142">
        <v>3.1327868221980091</v>
      </c>
      <c r="AU142" s="5">
        <v>38.671957529260951</v>
      </c>
      <c r="AV142" s="5">
        <v>55.238257943402189</v>
      </c>
      <c r="AW142" s="5">
        <v>2.340191756181913</v>
      </c>
      <c r="AX142" s="5">
        <v>3.3426835392852756</v>
      </c>
      <c r="AY142" t="s">
        <v>59</v>
      </c>
      <c r="AZ142" t="s">
        <v>60</v>
      </c>
      <c r="BA142" s="23">
        <f t="shared" si="2"/>
        <v>0</v>
      </c>
      <c r="BB142" s="23">
        <f>IF(AND(ISNUMBER(H142),Metadata!$H$5&gt;Metadata!$G$5),MAX(Metadata!$G$5-H142,0,H142-Metadata!$H$5)/(Metadata!$H$5-Metadata!$G$5),"Missing input")</f>
        <v>0</v>
      </c>
      <c r="BC142" s="23">
        <f>IF(AND(ISNUMBER(L142),Metadata!$H$8&gt;Metadata!$G$8),MAX(Metadata!$G$8-L142,0,L142-Metadata!$H$8)/(Metadata!$H$8-Metadata!$G$8),"Missing input")</f>
        <v>0</v>
      </c>
    </row>
    <row r="143" spans="1:55" x14ac:dyDescent="0.2">
      <c r="A143" t="s">
        <v>214</v>
      </c>
      <c r="B143" t="s">
        <v>213</v>
      </c>
      <c r="C143" t="s">
        <v>84</v>
      </c>
      <c r="D143" t="s">
        <v>55</v>
      </c>
      <c r="E143" t="s">
        <v>56</v>
      </c>
      <c r="F143">
        <v>2</v>
      </c>
      <c r="G143">
        <v>39.289372610104301</v>
      </c>
      <c r="H143">
        <v>11.43599740060767</v>
      </c>
      <c r="I143">
        <v>1.57</v>
      </c>
      <c r="J143">
        <v>1.5</v>
      </c>
      <c r="K143">
        <v>0.95</v>
      </c>
      <c r="L143">
        <v>0.15</v>
      </c>
      <c r="M143">
        <v>10</v>
      </c>
      <c r="N143">
        <v>110</v>
      </c>
      <c r="Q143">
        <v>0.95199777381508888</v>
      </c>
      <c r="R143">
        <v>1301660.814121977</v>
      </c>
      <c r="S143">
        <v>-3.8219181812162218E-3</v>
      </c>
      <c r="T143">
        <v>682.24591859950192</v>
      </c>
      <c r="U143">
        <v>574.94758792052733</v>
      </c>
      <c r="V143">
        <v>150.93936252201371</v>
      </c>
      <c r="W143">
        <v>3.8091295624537591</v>
      </c>
      <c r="X143" t="s">
        <v>57</v>
      </c>
      <c r="Z143">
        <v>579.70899999999995</v>
      </c>
      <c r="AA143">
        <v>95.166200000000003</v>
      </c>
      <c r="AB143">
        <v>65.006200000000007</v>
      </c>
      <c r="AC143">
        <v>16.379347424112868</v>
      </c>
      <c r="AE143">
        <v>95.166200000000003</v>
      </c>
      <c r="AF143" t="s">
        <v>62</v>
      </c>
      <c r="AG143" t="b">
        <v>0</v>
      </c>
      <c r="AH143">
        <v>5.8101337944575873</v>
      </c>
      <c r="AI143">
        <v>575.69000000000005</v>
      </c>
      <c r="AJ143">
        <v>78.431799999999996</v>
      </c>
      <c r="AK143">
        <v>64.811499999999995</v>
      </c>
      <c r="AL143">
        <v>15.906623006339681</v>
      </c>
      <c r="AN143">
        <v>78.431799999999996</v>
      </c>
      <c r="AO143" t="s">
        <v>62</v>
      </c>
      <c r="AP143" t="b">
        <v>0</v>
      </c>
      <c r="AQ143">
        <v>4.9307637434256506</v>
      </c>
      <c r="AR143">
        <v>579.70899999999995</v>
      </c>
      <c r="AS143">
        <v>95.166200000000003</v>
      </c>
      <c r="AT143">
        <v>5.8101337944575873</v>
      </c>
      <c r="AU143" s="5">
        <v>71.089151400000006</v>
      </c>
      <c r="AV143" s="5">
        <v>101.5423354</v>
      </c>
      <c r="AW143" s="5">
        <v>4.3401699444598174</v>
      </c>
      <c r="AX143" s="5">
        <v>6.1994127586862451</v>
      </c>
      <c r="AY143" t="s">
        <v>59</v>
      </c>
      <c r="AZ143" t="s">
        <v>60</v>
      </c>
      <c r="BA143" s="23">
        <f t="shared" si="2"/>
        <v>0</v>
      </c>
      <c r="BB143" s="23">
        <f>IF(AND(ISNUMBER(H143),Metadata!$H$5&gt;Metadata!$G$5),MAX(Metadata!$G$5-H143,0,H143-Metadata!$H$5)/(Metadata!$H$5-Metadata!$G$5),"Missing input")</f>
        <v>0</v>
      </c>
      <c r="BC143" s="23">
        <f>IF(AND(ISNUMBER(L143),Metadata!$H$8&gt;Metadata!$G$8),MAX(Metadata!$G$8-L143,0,L143-Metadata!$H$8)/(Metadata!$H$8-Metadata!$G$8),"Missing input")</f>
        <v>0</v>
      </c>
    </row>
    <row r="144" spans="1:55" x14ac:dyDescent="0.2">
      <c r="A144" t="s">
        <v>215</v>
      </c>
      <c r="B144" t="s">
        <v>213</v>
      </c>
      <c r="C144" t="s">
        <v>84</v>
      </c>
      <c r="D144" t="s">
        <v>55</v>
      </c>
      <c r="E144" t="s">
        <v>56</v>
      </c>
      <c r="F144">
        <v>3</v>
      </c>
      <c r="G144">
        <v>50.720967279676117</v>
      </c>
      <c r="H144">
        <v>41.572102032205443</v>
      </c>
      <c r="I144">
        <v>1.57</v>
      </c>
      <c r="J144">
        <v>1.5</v>
      </c>
      <c r="K144">
        <v>0.95</v>
      </c>
      <c r="L144">
        <v>0.15</v>
      </c>
      <c r="M144">
        <v>10</v>
      </c>
      <c r="N144">
        <v>110</v>
      </c>
      <c r="Q144">
        <v>0.95199777381508888</v>
      </c>
      <c r="R144">
        <v>6279453.0057685468</v>
      </c>
      <c r="S144">
        <v>-6.3476798528074091E-3</v>
      </c>
      <c r="T144">
        <v>2795.5189136654449</v>
      </c>
      <c r="U144">
        <v>617.4816731497815</v>
      </c>
      <c r="V144">
        <v>618.47763576669149</v>
      </c>
      <c r="W144">
        <v>0.99838965459814022</v>
      </c>
      <c r="X144" t="s">
        <v>87</v>
      </c>
      <c r="Z144">
        <v>1038.76</v>
      </c>
      <c r="AA144">
        <v>95.163399999999996</v>
      </c>
      <c r="AB144">
        <v>32.2684</v>
      </c>
      <c r="AC144">
        <v>14.83274239202658</v>
      </c>
      <c r="AD144">
        <v>34.919395466548622</v>
      </c>
      <c r="AE144">
        <v>34.919395466548622</v>
      </c>
      <c r="AF144" t="s">
        <v>58</v>
      </c>
      <c r="AG144" t="b">
        <v>1</v>
      </c>
      <c r="AH144">
        <v>2.3542103370796581</v>
      </c>
      <c r="AI144">
        <v>1040.8499999999999</v>
      </c>
      <c r="AJ144">
        <v>91.310100000000006</v>
      </c>
      <c r="AK144">
        <v>32.289299999999997</v>
      </c>
      <c r="AL144">
        <v>13.994403277326439</v>
      </c>
      <c r="AM144">
        <v>34.502966203511583</v>
      </c>
      <c r="AN144">
        <v>34.502966203511583</v>
      </c>
      <c r="AO144" t="s">
        <v>58</v>
      </c>
      <c r="AP144" t="b">
        <v>1</v>
      </c>
      <c r="AQ144">
        <v>2.4654832020892861</v>
      </c>
      <c r="AR144">
        <v>1040.8499999999999</v>
      </c>
      <c r="AS144">
        <v>34.919395466548622</v>
      </c>
      <c r="AT144">
        <v>2.4654832020892861</v>
      </c>
      <c r="AU144" s="5" t="s">
        <v>88</v>
      </c>
      <c r="AV144" s="5" t="s">
        <v>88</v>
      </c>
      <c r="AW144" s="5" t="s">
        <v>88</v>
      </c>
      <c r="AX144" s="5" t="s">
        <v>88</v>
      </c>
      <c r="AY144" t="s">
        <v>64</v>
      </c>
      <c r="AZ144" t="s">
        <v>7</v>
      </c>
      <c r="BA144" s="23">
        <f t="shared" si="2"/>
        <v>4.6063612035701466E-2</v>
      </c>
      <c r="BB144" s="23">
        <f>IF(AND(ISNUMBER(H144),Metadata!$H$5&gt;Metadata!$G$5),MAX(Metadata!$G$5-H144,0,H144-Metadata!$H$5)/(Metadata!$H$5-Metadata!$G$5),"Missing input")</f>
        <v>4.6063612035701466E-2</v>
      </c>
      <c r="BC144" s="23">
        <f>IF(AND(ISNUMBER(L144),Metadata!$H$8&gt;Metadata!$G$8),MAX(Metadata!$G$8-L144,0,L144-Metadata!$H$8)/(Metadata!$H$8-Metadata!$G$8),"Missing input")</f>
        <v>0</v>
      </c>
    </row>
    <row r="145" spans="1:55" x14ac:dyDescent="0.2">
      <c r="A145" t="s">
        <v>216</v>
      </c>
      <c r="B145" t="s">
        <v>213</v>
      </c>
      <c r="C145" t="s">
        <v>84</v>
      </c>
      <c r="D145" t="s">
        <v>55</v>
      </c>
      <c r="E145" t="s">
        <v>56</v>
      </c>
      <c r="F145">
        <v>4</v>
      </c>
      <c r="G145">
        <v>40.065365059576777</v>
      </c>
      <c r="H145">
        <v>25.23064360495534</v>
      </c>
      <c r="I145">
        <v>1.57</v>
      </c>
      <c r="J145">
        <v>1.5</v>
      </c>
      <c r="K145">
        <v>0.95</v>
      </c>
      <c r="L145">
        <v>0.15</v>
      </c>
      <c r="M145">
        <v>10</v>
      </c>
      <c r="N145">
        <v>110</v>
      </c>
      <c r="Q145">
        <v>0.95199777381508888</v>
      </c>
      <c r="R145">
        <v>2986346.165161836</v>
      </c>
      <c r="S145">
        <v>-5.7207983286780397E-3</v>
      </c>
      <c r="T145">
        <v>1323.2635029237761</v>
      </c>
      <c r="U145">
        <v>578.01641033642659</v>
      </c>
      <c r="V145">
        <v>292.75741215127789</v>
      </c>
      <c r="W145">
        <v>1.974386937256247</v>
      </c>
      <c r="X145" t="s">
        <v>57</v>
      </c>
      <c r="Z145">
        <v>788.96299999999997</v>
      </c>
      <c r="AA145">
        <v>95.163399999999996</v>
      </c>
      <c r="AB145">
        <v>44.910200000000003</v>
      </c>
      <c r="AC145">
        <v>16.262370066142299</v>
      </c>
      <c r="AD145">
        <v>56.589045440271782</v>
      </c>
      <c r="AE145">
        <v>56.589045440271782</v>
      </c>
      <c r="AF145" t="s">
        <v>58</v>
      </c>
      <c r="AG145" t="b">
        <v>1</v>
      </c>
      <c r="AH145">
        <v>3.4797538864330879</v>
      </c>
      <c r="AI145">
        <v>786.154</v>
      </c>
      <c r="AJ145">
        <v>91.310100000000006</v>
      </c>
      <c r="AK145">
        <v>46.261299999999999</v>
      </c>
      <c r="AL145">
        <v>15.959674617162671</v>
      </c>
      <c r="AM145">
        <v>56.148462639298891</v>
      </c>
      <c r="AN145">
        <v>56.148462639298891</v>
      </c>
      <c r="AO145" t="s">
        <v>58</v>
      </c>
      <c r="AP145" t="b">
        <v>1</v>
      </c>
      <c r="AQ145">
        <v>3.5181458260382148</v>
      </c>
      <c r="AR145">
        <v>788.96299999999997</v>
      </c>
      <c r="AS145">
        <v>56.589045440271782</v>
      </c>
      <c r="AT145">
        <v>3.5181458260382148</v>
      </c>
      <c r="AU145" s="5">
        <v>42.272016943883024</v>
      </c>
      <c r="AV145" s="5">
        <v>60.38051148476999</v>
      </c>
      <c r="AW145" s="5">
        <v>2.6280549320505466</v>
      </c>
      <c r="AX145" s="5">
        <v>3.7538615963827748</v>
      </c>
      <c r="AY145" t="s">
        <v>59</v>
      </c>
      <c r="AZ145" t="s">
        <v>60</v>
      </c>
      <c r="BA145" s="23">
        <f t="shared" si="2"/>
        <v>0</v>
      </c>
      <c r="BB145" s="23">
        <f>IF(AND(ISNUMBER(H145),Metadata!$H$5&gt;Metadata!$G$5),MAX(Metadata!$G$5-H145,0,H145-Metadata!$H$5)/(Metadata!$H$5-Metadata!$G$5),"Missing input")</f>
        <v>0</v>
      </c>
      <c r="BC145" s="23">
        <f>IF(AND(ISNUMBER(L145),Metadata!$H$8&gt;Metadata!$G$8),MAX(Metadata!$G$8-L145,0,L145-Metadata!$H$8)/(Metadata!$H$8-Metadata!$G$8),"Missing input")</f>
        <v>0</v>
      </c>
    </row>
    <row r="146" spans="1:55" x14ac:dyDescent="0.2">
      <c r="A146" t="s">
        <v>217</v>
      </c>
      <c r="B146" t="s">
        <v>213</v>
      </c>
      <c r="C146" t="s">
        <v>84</v>
      </c>
      <c r="D146" t="s">
        <v>55</v>
      </c>
      <c r="E146" t="s">
        <v>56</v>
      </c>
      <c r="F146">
        <v>5</v>
      </c>
      <c r="G146">
        <v>44.691650234033148</v>
      </c>
      <c r="H146">
        <v>35.278860063057749</v>
      </c>
      <c r="I146">
        <v>1.57</v>
      </c>
      <c r="J146">
        <v>1.5</v>
      </c>
      <c r="K146">
        <v>0.95</v>
      </c>
      <c r="L146">
        <v>0.15</v>
      </c>
      <c r="M146">
        <v>10</v>
      </c>
      <c r="N146">
        <v>110</v>
      </c>
      <c r="Q146">
        <v>0.95199777381508888</v>
      </c>
      <c r="R146">
        <v>4683732.748780732</v>
      </c>
      <c r="S146">
        <v>-6.3117602806984736E-3</v>
      </c>
      <c r="T146">
        <v>2061.9786008310161</v>
      </c>
      <c r="U146">
        <v>595.72573464730374</v>
      </c>
      <c r="V146">
        <v>456.18995593606547</v>
      </c>
      <c r="W146">
        <v>1.305872097567168</v>
      </c>
      <c r="X146" t="s">
        <v>57</v>
      </c>
      <c r="Z146">
        <v>928.07</v>
      </c>
      <c r="AA146">
        <v>95.163399999999996</v>
      </c>
      <c r="AB146">
        <v>37.053600000000003</v>
      </c>
      <c r="AC146">
        <v>15.414041985915491</v>
      </c>
      <c r="AD146">
        <v>40.301735276355728</v>
      </c>
      <c r="AE146">
        <v>40.301735276355728</v>
      </c>
      <c r="AF146" t="s">
        <v>58</v>
      </c>
      <c r="AG146" t="b">
        <v>1</v>
      </c>
      <c r="AH146">
        <v>2.614611749026067</v>
      </c>
      <c r="AI146">
        <v>924.47199999999998</v>
      </c>
      <c r="AJ146">
        <v>91.310100000000006</v>
      </c>
      <c r="AK146">
        <v>36.743099999999998</v>
      </c>
      <c r="AL146">
        <v>14.79465946935041</v>
      </c>
      <c r="AM146">
        <v>39.964142661160317</v>
      </c>
      <c r="AN146">
        <v>39.964142661160317</v>
      </c>
      <c r="AO146" t="s">
        <v>58</v>
      </c>
      <c r="AP146" t="b">
        <v>1</v>
      </c>
      <c r="AQ146">
        <v>2.701254648270389</v>
      </c>
      <c r="AR146">
        <v>928.07</v>
      </c>
      <c r="AS146">
        <v>40.301735276355728</v>
      </c>
      <c r="AT146">
        <v>2.701254648270389</v>
      </c>
      <c r="AU146" s="5">
        <v>30.105396251437728</v>
      </c>
      <c r="AV146" s="5">
        <v>43.001951539871563</v>
      </c>
      <c r="AW146" s="5">
        <v>2.0178372222579806</v>
      </c>
      <c r="AX146" s="5">
        <v>2.882238709704505</v>
      </c>
      <c r="AY146" t="s">
        <v>59</v>
      </c>
      <c r="AZ146" t="s">
        <v>60</v>
      </c>
      <c r="BA146" s="23">
        <f t="shared" si="2"/>
        <v>0</v>
      </c>
      <c r="BB146" s="23">
        <f>IF(AND(ISNUMBER(H146),Metadata!$H$5&gt;Metadata!$G$5),MAX(Metadata!$G$5-H146,0,H146-Metadata!$H$5)/(Metadata!$H$5-Metadata!$G$5),"Missing input")</f>
        <v>0</v>
      </c>
      <c r="BC146" s="23">
        <f>IF(AND(ISNUMBER(L146),Metadata!$H$8&gt;Metadata!$G$8),MAX(Metadata!$G$8-L146,0,L146-Metadata!$H$8)/(Metadata!$H$8-Metadata!$G$8),"Missing input")</f>
        <v>0</v>
      </c>
    </row>
    <row r="147" spans="1:55" x14ac:dyDescent="0.2">
      <c r="A147" t="s">
        <v>218</v>
      </c>
      <c r="B147" t="s">
        <v>213</v>
      </c>
      <c r="C147" t="s">
        <v>84</v>
      </c>
      <c r="D147" t="s">
        <v>55</v>
      </c>
      <c r="E147" t="s">
        <v>56</v>
      </c>
      <c r="F147">
        <v>6</v>
      </c>
      <c r="G147">
        <v>33.086500490231572</v>
      </c>
      <c r="H147">
        <v>19.79580616436397</v>
      </c>
      <c r="I147">
        <v>1.57</v>
      </c>
      <c r="J147">
        <v>1.5</v>
      </c>
      <c r="K147">
        <v>0.95</v>
      </c>
      <c r="L147">
        <v>0.15</v>
      </c>
      <c r="M147">
        <v>10</v>
      </c>
      <c r="N147">
        <v>110</v>
      </c>
      <c r="Q147">
        <v>0.95199777381508888</v>
      </c>
      <c r="R147">
        <v>1918643.176085273</v>
      </c>
      <c r="S147">
        <v>-5.0886679718997567E-3</v>
      </c>
      <c r="T147">
        <v>915.0391797947683</v>
      </c>
      <c r="U147">
        <v>549.23822789748363</v>
      </c>
      <c r="V147">
        <v>202.44229641477179</v>
      </c>
      <c r="W147">
        <v>2.7130606480188439</v>
      </c>
      <c r="X147" t="s">
        <v>57</v>
      </c>
      <c r="Z147">
        <v>631.92600000000004</v>
      </c>
      <c r="AA147">
        <v>95.172000000000011</v>
      </c>
      <c r="AB147">
        <v>37.809100000000001</v>
      </c>
      <c r="AC147">
        <v>16.128438510101009</v>
      </c>
      <c r="AE147">
        <v>95.172000000000011</v>
      </c>
      <c r="AF147" t="s">
        <v>62</v>
      </c>
      <c r="AG147" t="b">
        <v>0</v>
      </c>
      <c r="AH147">
        <v>5.9008812254450502</v>
      </c>
      <c r="AI147">
        <v>633.16300000000001</v>
      </c>
      <c r="AJ147">
        <v>90.090600000000009</v>
      </c>
      <c r="AK147">
        <v>39.358900000000013</v>
      </c>
      <c r="AL147">
        <v>16.005236503683861</v>
      </c>
      <c r="AM147">
        <v>78.481420927916687</v>
      </c>
      <c r="AN147">
        <v>78.481420927916687</v>
      </c>
      <c r="AO147" t="s">
        <v>58</v>
      </c>
      <c r="AP147" t="b">
        <v>1</v>
      </c>
      <c r="AQ147">
        <v>4.9034839884966983</v>
      </c>
      <c r="AR147">
        <v>633.16300000000001</v>
      </c>
      <c r="AS147">
        <v>95.172000000000011</v>
      </c>
      <c r="AT147">
        <v>5.9008812254450502</v>
      </c>
      <c r="AU147" s="5">
        <v>71.093484000000004</v>
      </c>
      <c r="AV147" s="5">
        <v>101.548524</v>
      </c>
      <c r="AW147" s="5">
        <v>4.4079582754074522</v>
      </c>
      <c r="AX147" s="5">
        <v>6.2962402675498685</v>
      </c>
      <c r="AY147" t="s">
        <v>59</v>
      </c>
      <c r="AZ147" t="s">
        <v>60</v>
      </c>
      <c r="BA147" s="23">
        <f t="shared" si="2"/>
        <v>0</v>
      </c>
      <c r="BB147" s="23">
        <f>IF(AND(ISNUMBER(H147),Metadata!$H$5&gt;Metadata!$G$5),MAX(Metadata!$G$5-H147,0,H147-Metadata!$H$5)/(Metadata!$H$5-Metadata!$G$5),"Missing input")</f>
        <v>0</v>
      </c>
      <c r="BC147" s="23">
        <f>IF(AND(ISNUMBER(L147),Metadata!$H$8&gt;Metadata!$G$8),MAX(Metadata!$G$8-L147,0,L147-Metadata!$H$8)/(Metadata!$H$8-Metadata!$G$8),"Missing input")</f>
        <v>0</v>
      </c>
    </row>
    <row r="148" spans="1:55" x14ac:dyDescent="0.2">
      <c r="A148" t="s">
        <v>219</v>
      </c>
      <c r="B148" t="s">
        <v>213</v>
      </c>
      <c r="C148" t="s">
        <v>84</v>
      </c>
      <c r="D148" t="s">
        <v>55</v>
      </c>
      <c r="E148" t="s">
        <v>56</v>
      </c>
      <c r="F148">
        <v>7</v>
      </c>
      <c r="G148">
        <v>42.943727860216583</v>
      </c>
      <c r="H148">
        <v>31.604415760045629</v>
      </c>
      <c r="I148">
        <v>1.57</v>
      </c>
      <c r="J148">
        <v>1.5</v>
      </c>
      <c r="K148">
        <v>0.95</v>
      </c>
      <c r="L148">
        <v>0.15</v>
      </c>
      <c r="M148">
        <v>10</v>
      </c>
      <c r="N148">
        <v>110</v>
      </c>
      <c r="Q148">
        <v>0.95199777381508888</v>
      </c>
      <c r="R148">
        <v>4025355.613741619</v>
      </c>
      <c r="S148">
        <v>-6.1804482734379544E-3</v>
      </c>
      <c r="T148">
        <v>1767.125197942283</v>
      </c>
      <c r="U148">
        <v>589.14764921268807</v>
      </c>
      <c r="V148">
        <v>390.95690219962017</v>
      </c>
      <c r="W148">
        <v>1.50693758288445</v>
      </c>
      <c r="X148" t="s">
        <v>57</v>
      </c>
      <c r="Z148">
        <v>877.64099999999996</v>
      </c>
      <c r="AA148">
        <v>95.163399999999996</v>
      </c>
      <c r="AB148">
        <v>39.531300000000002</v>
      </c>
      <c r="AC148">
        <v>15.60092257719351</v>
      </c>
      <c r="AD148">
        <v>45.053603702303967</v>
      </c>
      <c r="AE148">
        <v>45.053603702303967</v>
      </c>
      <c r="AF148" t="s">
        <v>58</v>
      </c>
      <c r="AG148" t="b">
        <v>1</v>
      </c>
      <c r="AH148">
        <v>2.8878807313720269</v>
      </c>
      <c r="AI148">
        <v>879.65099999999995</v>
      </c>
      <c r="AJ148">
        <v>91.310100000000006</v>
      </c>
      <c r="AK148">
        <v>39.358900000000013</v>
      </c>
      <c r="AL148">
        <v>15.293498518750001</v>
      </c>
      <c r="AM148">
        <v>44.744537289889813</v>
      </c>
      <c r="AN148">
        <v>44.744537289889813</v>
      </c>
      <c r="AO148" t="s">
        <v>58</v>
      </c>
      <c r="AP148" t="b">
        <v>1</v>
      </c>
      <c r="AQ148">
        <v>2.9257227988110439</v>
      </c>
      <c r="AR148">
        <v>879.65099999999995</v>
      </c>
      <c r="AS148">
        <v>45.053603702303967</v>
      </c>
      <c r="AT148">
        <v>2.9257227988110439</v>
      </c>
      <c r="AU148" s="5">
        <v>33.655041965621066</v>
      </c>
      <c r="AV148" s="5">
        <v>48.072195150358333</v>
      </c>
      <c r="AW148" s="5">
        <v>2.1855149307118498</v>
      </c>
      <c r="AX148" s="5">
        <v>3.1217462263313838</v>
      </c>
      <c r="AY148" t="s">
        <v>59</v>
      </c>
      <c r="AZ148" t="s">
        <v>60</v>
      </c>
      <c r="BA148" s="23">
        <f t="shared" si="2"/>
        <v>0</v>
      </c>
      <c r="BB148" s="23">
        <f>IF(AND(ISNUMBER(H148),Metadata!$H$5&gt;Metadata!$G$5),MAX(Metadata!$G$5-H148,0,H148-Metadata!$H$5)/(Metadata!$H$5-Metadata!$G$5),"Missing input")</f>
        <v>0</v>
      </c>
      <c r="BC148" s="23">
        <f>IF(AND(ISNUMBER(L148),Metadata!$H$8&gt;Metadata!$G$8),MAX(Metadata!$G$8-L148,0,L148-Metadata!$H$8)/(Metadata!$H$8-Metadata!$G$8),"Missing input")</f>
        <v>0</v>
      </c>
    </row>
    <row r="149" spans="1:55" x14ac:dyDescent="0.2">
      <c r="A149" t="s">
        <v>220</v>
      </c>
      <c r="B149" t="s">
        <v>213</v>
      </c>
      <c r="C149" t="s">
        <v>84</v>
      </c>
      <c r="D149" t="s">
        <v>55</v>
      </c>
      <c r="E149" t="s">
        <v>56</v>
      </c>
      <c r="F149">
        <v>8</v>
      </c>
      <c r="G149">
        <v>29.155454969686971</v>
      </c>
      <c r="H149">
        <v>7.3398505058277053</v>
      </c>
      <c r="I149">
        <v>1.57</v>
      </c>
      <c r="J149">
        <v>1.5</v>
      </c>
      <c r="K149">
        <v>0.95</v>
      </c>
      <c r="L149">
        <v>0.15</v>
      </c>
      <c r="M149">
        <v>10</v>
      </c>
      <c r="N149">
        <v>110</v>
      </c>
      <c r="Q149">
        <v>0.95199777381508888</v>
      </c>
      <c r="R149">
        <v>595711.36772068124</v>
      </c>
      <c r="S149">
        <v>-3.1768178686825978E-3</v>
      </c>
      <c r="T149">
        <v>480.50831710260849</v>
      </c>
      <c r="U149">
        <v>531.6760315926673</v>
      </c>
      <c r="V149">
        <v>106.3071498014621</v>
      </c>
      <c r="W149">
        <v>5.0013195969002924</v>
      </c>
      <c r="X149" t="s">
        <v>57</v>
      </c>
      <c r="Z149">
        <v>441.74</v>
      </c>
      <c r="AA149">
        <v>95.163399999999996</v>
      </c>
      <c r="AB149">
        <v>51.296399999999998</v>
      </c>
      <c r="AC149">
        <v>17.1820745526839</v>
      </c>
      <c r="AE149">
        <v>95.163399999999996</v>
      </c>
      <c r="AF149" t="s">
        <v>62</v>
      </c>
      <c r="AG149" t="b">
        <v>0</v>
      </c>
      <c r="AH149">
        <v>5.5385279413268034</v>
      </c>
      <c r="AI149">
        <v>436.11900000000003</v>
      </c>
      <c r="AJ149">
        <v>91.310100000000006</v>
      </c>
      <c r="AK149">
        <v>64.811499999999995</v>
      </c>
      <c r="AL149">
        <v>16.551055403348549</v>
      </c>
      <c r="AN149">
        <v>91.310100000000006</v>
      </c>
      <c r="AO149" t="s">
        <v>62</v>
      </c>
      <c r="AP149" t="b">
        <v>0</v>
      </c>
      <c r="AQ149">
        <v>5.5168747717155524</v>
      </c>
      <c r="AR149">
        <v>441.74</v>
      </c>
      <c r="AS149">
        <v>95.163399999999996</v>
      </c>
      <c r="AT149">
        <v>5.5385279413268034</v>
      </c>
      <c r="AU149" s="5">
        <v>71.087059799999992</v>
      </c>
      <c r="AV149" s="5">
        <v>101.53934779999999</v>
      </c>
      <c r="AW149" s="5">
        <v>4.137280372171122</v>
      </c>
      <c r="AX149" s="5">
        <v>5.9096093133956993</v>
      </c>
      <c r="AY149" t="s">
        <v>59</v>
      </c>
      <c r="AZ149" t="s">
        <v>60</v>
      </c>
      <c r="BA149" s="23">
        <f t="shared" si="2"/>
        <v>0</v>
      </c>
      <c r="BB149" s="23">
        <f>IF(AND(ISNUMBER(H149),Metadata!$H$5&gt;Metadata!$G$5),MAX(Metadata!$G$5-H149,0,H149-Metadata!$H$5)/(Metadata!$H$5-Metadata!$G$5),"Missing input")</f>
        <v>0</v>
      </c>
      <c r="BC149" s="23">
        <f>IF(AND(ISNUMBER(L149),Metadata!$H$8&gt;Metadata!$G$8),MAX(Metadata!$G$8-L149,0,L149-Metadata!$H$8)/(Metadata!$H$8-Metadata!$G$8),"Missing input")</f>
        <v>0</v>
      </c>
    </row>
    <row r="150" spans="1:55" x14ac:dyDescent="0.2">
      <c r="A150" t="s">
        <v>221</v>
      </c>
      <c r="B150" t="s">
        <v>213</v>
      </c>
      <c r="C150" t="s">
        <v>84</v>
      </c>
      <c r="D150" t="s">
        <v>55</v>
      </c>
      <c r="E150" t="s">
        <v>56</v>
      </c>
      <c r="F150">
        <v>9</v>
      </c>
      <c r="G150">
        <v>59.748609235827082</v>
      </c>
      <c r="H150">
        <v>37.783512331141722</v>
      </c>
      <c r="I150">
        <v>1.57</v>
      </c>
      <c r="J150">
        <v>1.5</v>
      </c>
      <c r="K150">
        <v>0.95</v>
      </c>
      <c r="L150">
        <v>0.15</v>
      </c>
      <c r="M150">
        <v>10</v>
      </c>
      <c r="N150">
        <v>110</v>
      </c>
      <c r="Q150">
        <v>0.95199777381508888</v>
      </c>
      <c r="R150">
        <v>6726258.2664913209</v>
      </c>
      <c r="S150">
        <v>-6.352272614949743E-3</v>
      </c>
      <c r="T150">
        <v>2958.9793454838732</v>
      </c>
      <c r="U150">
        <v>647.76558235474386</v>
      </c>
      <c r="V150">
        <v>654.64144811590108</v>
      </c>
      <c r="W150">
        <v>0.98949674546128052</v>
      </c>
      <c r="X150" t="s">
        <v>87</v>
      </c>
      <c r="Z150">
        <v>1172.52</v>
      </c>
      <c r="AA150">
        <v>94.932900000000004</v>
      </c>
      <c r="AB150">
        <v>35.290599999999998</v>
      </c>
      <c r="AC150">
        <v>15.457642937735059</v>
      </c>
      <c r="AD150">
        <v>37.856143443943267</v>
      </c>
      <c r="AE150">
        <v>37.856143443943267</v>
      </c>
      <c r="AF150" t="s">
        <v>58</v>
      </c>
      <c r="AG150" t="b">
        <v>1</v>
      </c>
      <c r="AH150">
        <v>2.449024317383421</v>
      </c>
      <c r="AI150">
        <v>1167.3800000000001</v>
      </c>
      <c r="AJ150">
        <v>90.935199999999995</v>
      </c>
      <c r="AK150">
        <v>34.650399999999998</v>
      </c>
      <c r="AL150">
        <v>14.62378861283644</v>
      </c>
      <c r="AM150">
        <v>37.644489897870457</v>
      </c>
      <c r="AN150">
        <v>37.644489897870457</v>
      </c>
      <c r="AO150" t="s">
        <v>58</v>
      </c>
      <c r="AP150" t="b">
        <v>1</v>
      </c>
      <c r="AQ150">
        <v>2.5741954355676988</v>
      </c>
      <c r="AR150">
        <v>1172.52</v>
      </c>
      <c r="AS150">
        <v>37.856143443943267</v>
      </c>
      <c r="AT150">
        <v>2.5741954355676988</v>
      </c>
      <c r="AU150" s="5" t="s">
        <v>88</v>
      </c>
      <c r="AV150" s="5" t="s">
        <v>88</v>
      </c>
      <c r="AW150" s="5" t="s">
        <v>88</v>
      </c>
      <c r="AX150" s="5" t="s">
        <v>88</v>
      </c>
      <c r="AY150" t="s">
        <v>59</v>
      </c>
      <c r="AZ150" t="s">
        <v>60</v>
      </c>
      <c r="BA150" s="23">
        <f t="shared" si="2"/>
        <v>0</v>
      </c>
      <c r="BB150" s="23">
        <f>IF(AND(ISNUMBER(H150),Metadata!$H$5&gt;Metadata!$G$5),MAX(Metadata!$G$5-H150,0,H150-Metadata!$H$5)/(Metadata!$H$5-Metadata!$G$5),"Missing input")</f>
        <v>0</v>
      </c>
      <c r="BC150" s="23">
        <f>IF(AND(ISNUMBER(L150),Metadata!$H$8&gt;Metadata!$G$8),MAX(Metadata!$G$8-L150,0,L150-Metadata!$H$8)/(Metadata!$H$8-Metadata!$G$8),"Missing input")</f>
        <v>0</v>
      </c>
    </row>
    <row r="151" spans="1:55" x14ac:dyDescent="0.2">
      <c r="A151" t="s">
        <v>222</v>
      </c>
      <c r="B151" t="s">
        <v>213</v>
      </c>
      <c r="C151" t="s">
        <v>84</v>
      </c>
      <c r="D151" t="s">
        <v>55</v>
      </c>
      <c r="E151" t="s">
        <v>56</v>
      </c>
      <c r="F151">
        <v>10</v>
      </c>
      <c r="G151">
        <v>34.746337553007109</v>
      </c>
      <c r="H151">
        <v>23.7414613202046</v>
      </c>
      <c r="I151">
        <v>1.57</v>
      </c>
      <c r="J151">
        <v>1.5</v>
      </c>
      <c r="K151">
        <v>0.95</v>
      </c>
      <c r="L151">
        <v>0.15</v>
      </c>
      <c r="M151">
        <v>10</v>
      </c>
      <c r="N151">
        <v>110</v>
      </c>
      <c r="Q151">
        <v>0.95199777381508888</v>
      </c>
      <c r="R151">
        <v>2428507.8121004719</v>
      </c>
      <c r="S151">
        <v>-5.5686148544889487E-3</v>
      </c>
      <c r="T151">
        <v>1111.217336052197</v>
      </c>
      <c r="U151">
        <v>556.33847522224778</v>
      </c>
      <c r="V151">
        <v>245.84454337438001</v>
      </c>
      <c r="W151">
        <v>2.2629685718712</v>
      </c>
      <c r="X151" t="s">
        <v>57</v>
      </c>
      <c r="Z151">
        <v>703.62</v>
      </c>
      <c r="AA151">
        <v>95.163399999999996</v>
      </c>
      <c r="AB151">
        <v>47.540999999999997</v>
      </c>
      <c r="AC151">
        <v>16.492073677884608</v>
      </c>
      <c r="AD151">
        <v>60.895211483369749</v>
      </c>
      <c r="AE151">
        <v>60.895211483369749</v>
      </c>
      <c r="AF151" t="s">
        <v>58</v>
      </c>
      <c r="AG151" t="b">
        <v>1</v>
      </c>
      <c r="AH151">
        <v>3.6923926410193308</v>
      </c>
      <c r="AI151">
        <v>700.95100000000002</v>
      </c>
      <c r="AJ151">
        <v>91.310100000000006</v>
      </c>
      <c r="AK151">
        <v>47.635399999999997</v>
      </c>
      <c r="AL151">
        <v>16.18518338720104</v>
      </c>
      <c r="AM151">
        <v>60.501140009804722</v>
      </c>
      <c r="AN151">
        <v>60.501140009804722</v>
      </c>
      <c r="AO151" t="s">
        <v>58</v>
      </c>
      <c r="AP151" t="b">
        <v>1</v>
      </c>
      <c r="AQ151">
        <v>3.738057120665558</v>
      </c>
      <c r="AR151">
        <v>703.62</v>
      </c>
      <c r="AS151">
        <v>60.895211483369749</v>
      </c>
      <c r="AT151">
        <v>3.738057120665558</v>
      </c>
      <c r="AU151" s="5">
        <v>45.488722978077206</v>
      </c>
      <c r="AV151" s="5">
        <v>64.975190652755515</v>
      </c>
      <c r="AW151" s="5">
        <v>2.7923286691371718</v>
      </c>
      <c r="AX151" s="5">
        <v>3.98850694775015</v>
      </c>
      <c r="AY151" t="s">
        <v>59</v>
      </c>
      <c r="AZ151" t="s">
        <v>60</v>
      </c>
      <c r="BA151" s="23">
        <f t="shared" si="2"/>
        <v>0</v>
      </c>
      <c r="BB151" s="23">
        <f>IF(AND(ISNUMBER(H151),Metadata!$H$5&gt;Metadata!$G$5),MAX(Metadata!$G$5-H151,0,H151-Metadata!$H$5)/(Metadata!$H$5-Metadata!$G$5),"Missing input")</f>
        <v>0</v>
      </c>
      <c r="BC151" s="23">
        <f>IF(AND(ISNUMBER(L151),Metadata!$H$8&gt;Metadata!$G$8),MAX(Metadata!$G$8-L151,0,L151-Metadata!$H$8)/(Metadata!$H$8-Metadata!$G$8),"Missing input")</f>
        <v>0</v>
      </c>
    </row>
    <row r="152" spans="1:55" x14ac:dyDescent="0.2">
      <c r="A152" t="s">
        <v>223</v>
      </c>
      <c r="B152" t="s">
        <v>213</v>
      </c>
      <c r="C152" t="s">
        <v>84</v>
      </c>
      <c r="D152" t="s">
        <v>55</v>
      </c>
      <c r="E152" t="s">
        <v>56</v>
      </c>
      <c r="F152">
        <v>11</v>
      </c>
      <c r="G152">
        <v>24.502161634428251</v>
      </c>
      <c r="H152">
        <v>33.048591474592847</v>
      </c>
      <c r="I152">
        <v>1.57</v>
      </c>
      <c r="J152">
        <v>1.5</v>
      </c>
      <c r="K152">
        <v>0.95</v>
      </c>
      <c r="L152">
        <v>0.15</v>
      </c>
      <c r="M152">
        <v>10</v>
      </c>
      <c r="N152">
        <v>110</v>
      </c>
      <c r="Q152">
        <v>0.95199777381508888</v>
      </c>
      <c r="R152">
        <v>2383007.1153019848</v>
      </c>
      <c r="S152">
        <v>-6.242888985344165E-3</v>
      </c>
      <c r="T152">
        <v>1134.971999997148</v>
      </c>
      <c r="U152">
        <v>509.27594622145989</v>
      </c>
      <c r="V152">
        <v>251.099999999369</v>
      </c>
      <c r="W152">
        <v>2.0281797937982469</v>
      </c>
      <c r="X152" t="s">
        <v>57</v>
      </c>
      <c r="Z152">
        <v>608.91</v>
      </c>
      <c r="AA152">
        <v>95.163399999999996</v>
      </c>
      <c r="AB152">
        <v>37.809100000000001</v>
      </c>
      <c r="AC152">
        <v>16.163183069481089</v>
      </c>
      <c r="AD152">
        <v>45.122087471018858</v>
      </c>
      <c r="AE152">
        <v>45.122087471018858</v>
      </c>
      <c r="AF152" t="s">
        <v>58</v>
      </c>
      <c r="AG152" t="b">
        <v>1</v>
      </c>
      <c r="AH152">
        <v>2.7916585042099311</v>
      </c>
      <c r="AI152">
        <v>607.84299999999996</v>
      </c>
      <c r="AJ152">
        <v>91.310100000000006</v>
      </c>
      <c r="AK152">
        <v>38.574199999999998</v>
      </c>
      <c r="AL152">
        <v>15.768871028458211</v>
      </c>
      <c r="AM152">
        <v>44.422221733846463</v>
      </c>
      <c r="AN152">
        <v>44.422221733846463</v>
      </c>
      <c r="AO152" t="s">
        <v>58</v>
      </c>
      <c r="AP152" t="b">
        <v>1</v>
      </c>
      <c r="AQ152">
        <v>2.8170832048583132</v>
      </c>
      <c r="AR152">
        <v>608.91</v>
      </c>
      <c r="AS152">
        <v>45.122087471018858</v>
      </c>
      <c r="AT152">
        <v>2.8170832048583132</v>
      </c>
      <c r="AU152" s="5">
        <v>33.706199340851086</v>
      </c>
      <c r="AV152" s="5">
        <v>48.145267331577116</v>
      </c>
      <c r="AW152" s="5">
        <v>2.10436115402916</v>
      </c>
      <c r="AX152" s="5">
        <v>3.0058277795838202</v>
      </c>
      <c r="AY152" t="s">
        <v>59</v>
      </c>
      <c r="AZ152" t="s">
        <v>60</v>
      </c>
      <c r="BA152" s="23">
        <f t="shared" si="2"/>
        <v>0</v>
      </c>
      <c r="BB152" s="23">
        <f>IF(AND(ISNUMBER(H152),Metadata!$H$5&gt;Metadata!$G$5),MAX(Metadata!$G$5-H152,0,H152-Metadata!$H$5)/(Metadata!$H$5-Metadata!$G$5),"Missing input")</f>
        <v>0</v>
      </c>
      <c r="BC152" s="23">
        <f>IF(AND(ISNUMBER(L152),Metadata!$H$8&gt;Metadata!$G$8),MAX(Metadata!$G$8-L152,0,L152-Metadata!$H$8)/(Metadata!$H$8-Metadata!$G$8),"Missing input")</f>
        <v>0</v>
      </c>
    </row>
    <row r="153" spans="1:55" x14ac:dyDescent="0.2">
      <c r="A153" t="s">
        <v>224</v>
      </c>
      <c r="B153" t="s">
        <v>213</v>
      </c>
      <c r="C153" t="s">
        <v>84</v>
      </c>
      <c r="D153" t="s">
        <v>55</v>
      </c>
      <c r="E153" t="s">
        <v>56</v>
      </c>
      <c r="F153">
        <v>12</v>
      </c>
      <c r="G153">
        <v>56.241153781572699</v>
      </c>
      <c r="H153">
        <v>14.78764467513273</v>
      </c>
      <c r="I153">
        <v>1.57</v>
      </c>
      <c r="J153">
        <v>1.5</v>
      </c>
      <c r="K153">
        <v>0.95</v>
      </c>
      <c r="L153">
        <v>0.15</v>
      </c>
      <c r="M153">
        <v>10</v>
      </c>
      <c r="N153">
        <v>110</v>
      </c>
      <c r="Q153">
        <v>0.95199777381508888</v>
      </c>
      <c r="R153">
        <v>2448743.9197241841</v>
      </c>
      <c r="S153">
        <v>-4.3539296082371779E-3</v>
      </c>
      <c r="T153">
        <v>1060.8343060705299</v>
      </c>
      <c r="U153">
        <v>636.29124822044673</v>
      </c>
      <c r="V153">
        <v>234.69785532533859</v>
      </c>
      <c r="W153">
        <v>2.711108064189248</v>
      </c>
      <c r="X153" t="s">
        <v>57</v>
      </c>
      <c r="Z153">
        <v>794.73400000000004</v>
      </c>
      <c r="AA153">
        <v>95.163399999999996</v>
      </c>
      <c r="AB153">
        <v>61.555600000000013</v>
      </c>
      <c r="AC153">
        <v>15.57804688149688</v>
      </c>
      <c r="AE153">
        <v>95.163399999999996</v>
      </c>
      <c r="AF153" t="s">
        <v>62</v>
      </c>
      <c r="AG153" t="b">
        <v>0</v>
      </c>
      <c r="AH153">
        <v>6.1088145852887434</v>
      </c>
      <c r="AI153">
        <v>790.93799999999999</v>
      </c>
      <c r="AJ153">
        <v>91.310100000000006</v>
      </c>
      <c r="AK153">
        <v>61.372599999999998</v>
      </c>
      <c r="AL153">
        <v>15.22309885166171</v>
      </c>
      <c r="AN153">
        <v>91.310100000000006</v>
      </c>
      <c r="AO153" t="s">
        <v>62</v>
      </c>
      <c r="AP153" t="b">
        <v>0</v>
      </c>
      <c r="AQ153">
        <v>5.9981282976450521</v>
      </c>
      <c r="AR153">
        <v>794.73400000000004</v>
      </c>
      <c r="AS153">
        <v>95.163399999999996</v>
      </c>
      <c r="AT153">
        <v>6.1088145852887434</v>
      </c>
      <c r="AU153" s="5">
        <v>71.087059799999992</v>
      </c>
      <c r="AV153" s="5">
        <v>101.53934779999999</v>
      </c>
      <c r="AW153" s="5">
        <v>4.5632844952106915</v>
      </c>
      <c r="AX153" s="5">
        <v>6.5181051625030886</v>
      </c>
      <c r="AY153" t="s">
        <v>59</v>
      </c>
      <c r="AZ153" t="s">
        <v>60</v>
      </c>
      <c r="BA153" s="23">
        <f t="shared" si="2"/>
        <v>0</v>
      </c>
      <c r="BB153" s="23">
        <f>IF(AND(ISNUMBER(H153),Metadata!$H$5&gt;Metadata!$G$5),MAX(Metadata!$G$5-H153,0,H153-Metadata!$H$5)/(Metadata!$H$5-Metadata!$G$5),"Missing input")</f>
        <v>0</v>
      </c>
      <c r="BC153" s="23">
        <f>IF(AND(ISNUMBER(L153),Metadata!$H$8&gt;Metadata!$G$8),MAX(Metadata!$G$8-L153,0,L153-Metadata!$H$8)/(Metadata!$H$8-Metadata!$G$8),"Missing input")</f>
        <v>0</v>
      </c>
    </row>
    <row r="154" spans="1:55" x14ac:dyDescent="0.2">
      <c r="A154" t="s">
        <v>225</v>
      </c>
      <c r="B154" t="s">
        <v>213</v>
      </c>
      <c r="C154" t="s">
        <v>84</v>
      </c>
      <c r="D154" t="s">
        <v>55</v>
      </c>
      <c r="E154" t="s">
        <v>56</v>
      </c>
      <c r="F154">
        <v>13</v>
      </c>
      <c r="G154">
        <v>49.119901382435643</v>
      </c>
      <c r="H154">
        <v>22.54933477691009</v>
      </c>
      <c r="I154">
        <v>1.57</v>
      </c>
      <c r="J154">
        <v>1.5</v>
      </c>
      <c r="K154">
        <v>0.95</v>
      </c>
      <c r="L154">
        <v>0.15</v>
      </c>
      <c r="M154">
        <v>10</v>
      </c>
      <c r="N154">
        <v>110</v>
      </c>
      <c r="Q154">
        <v>0.95199777381508888</v>
      </c>
      <c r="R154">
        <v>3276584.6264440492</v>
      </c>
      <c r="S154">
        <v>-5.43491511589516E-3</v>
      </c>
      <c r="T154">
        <v>1412.968799359719</v>
      </c>
      <c r="U154">
        <v>611.83666602489006</v>
      </c>
      <c r="V154">
        <v>312.60371667250428</v>
      </c>
      <c r="W154">
        <v>1.9572277404042311</v>
      </c>
      <c r="X154" t="s">
        <v>57</v>
      </c>
      <c r="Z154">
        <v>875.29200000000003</v>
      </c>
      <c r="AA154">
        <v>95.163399999999996</v>
      </c>
      <c r="AB154">
        <v>49.930799999999998</v>
      </c>
      <c r="AC154">
        <v>16.231852964426881</v>
      </c>
      <c r="AD154">
        <v>63.908663873122833</v>
      </c>
      <c r="AE154">
        <v>63.908663873122833</v>
      </c>
      <c r="AF154" t="s">
        <v>58</v>
      </c>
      <c r="AG154" t="b">
        <v>1</v>
      </c>
      <c r="AH154">
        <v>3.9372377271518331</v>
      </c>
      <c r="AI154">
        <v>870.43</v>
      </c>
      <c r="AJ154">
        <v>91.310100000000006</v>
      </c>
      <c r="AK154">
        <v>50.04</v>
      </c>
      <c r="AL154">
        <v>15.909202779953009</v>
      </c>
      <c r="AM154">
        <v>63.662631033265342</v>
      </c>
      <c r="AN154">
        <v>63.662631033265342</v>
      </c>
      <c r="AO154" t="s">
        <v>58</v>
      </c>
      <c r="AP154" t="b">
        <v>1</v>
      </c>
      <c r="AQ154">
        <v>4.0016229545760664</v>
      </c>
      <c r="AR154">
        <v>875.29200000000003</v>
      </c>
      <c r="AS154">
        <v>63.908663873122833</v>
      </c>
      <c r="AT154">
        <v>4.0016229545760664</v>
      </c>
      <c r="AU154" s="5">
        <v>47.739771913222754</v>
      </c>
      <c r="AV154" s="5">
        <v>68.190544352622055</v>
      </c>
      <c r="AW154" s="5">
        <v>2.9892123470683214</v>
      </c>
      <c r="AX154" s="5">
        <v>4.2697316925326625</v>
      </c>
      <c r="AY154" t="s">
        <v>59</v>
      </c>
      <c r="AZ154" t="s">
        <v>60</v>
      </c>
      <c r="BA154" s="23">
        <f t="shared" si="2"/>
        <v>0</v>
      </c>
      <c r="BB154" s="23">
        <f>IF(AND(ISNUMBER(H154),Metadata!$H$5&gt;Metadata!$G$5),MAX(Metadata!$G$5-H154,0,H154-Metadata!$H$5)/(Metadata!$H$5-Metadata!$G$5),"Missing input")</f>
        <v>0</v>
      </c>
      <c r="BC154" s="23">
        <f>IF(AND(ISNUMBER(L154),Metadata!$H$8&gt;Metadata!$G$8),MAX(Metadata!$G$8-L154,0,L154-Metadata!$H$8)/(Metadata!$H$8-Metadata!$G$8),"Missing input")</f>
        <v>0</v>
      </c>
    </row>
    <row r="155" spans="1:55" x14ac:dyDescent="0.2">
      <c r="A155" t="s">
        <v>226</v>
      </c>
      <c r="B155" t="s">
        <v>213</v>
      </c>
      <c r="C155" t="s">
        <v>84</v>
      </c>
      <c r="D155" t="s">
        <v>55</v>
      </c>
      <c r="E155" t="s">
        <v>56</v>
      </c>
      <c r="F155">
        <v>14</v>
      </c>
      <c r="G155">
        <v>37.958866376576751</v>
      </c>
      <c r="H155">
        <v>9.8264864335603903</v>
      </c>
      <c r="I155">
        <v>1.57</v>
      </c>
      <c r="J155">
        <v>1.5</v>
      </c>
      <c r="K155">
        <v>0.95</v>
      </c>
      <c r="L155">
        <v>0.15</v>
      </c>
      <c r="M155">
        <v>10</v>
      </c>
      <c r="N155">
        <v>110</v>
      </c>
      <c r="Q155">
        <v>0.95199777381508888</v>
      </c>
      <c r="R155">
        <v>1072728.181448289</v>
      </c>
      <c r="S155">
        <v>-3.5652645822556849E-3</v>
      </c>
      <c r="T155">
        <v>610.81355109044614</v>
      </c>
      <c r="U155">
        <v>569.61443265943569</v>
      </c>
      <c r="V155">
        <v>135.13574139169171</v>
      </c>
      <c r="W155">
        <v>4.2151278913578114</v>
      </c>
      <c r="X155" t="s">
        <v>57</v>
      </c>
      <c r="Z155">
        <v>539.83299999999997</v>
      </c>
      <c r="AA155">
        <v>95.166200000000003</v>
      </c>
      <c r="AB155">
        <v>65.006200000000007</v>
      </c>
      <c r="AC155">
        <v>16.475772447414538</v>
      </c>
      <c r="AE155">
        <v>95.166200000000003</v>
      </c>
      <c r="AF155" t="s">
        <v>62</v>
      </c>
      <c r="AG155" t="b">
        <v>0</v>
      </c>
      <c r="AH155">
        <v>5.7761297871611443</v>
      </c>
      <c r="AI155">
        <v>535.84500000000003</v>
      </c>
      <c r="AJ155">
        <v>88.280100000000004</v>
      </c>
      <c r="AK155">
        <v>64.811499999999995</v>
      </c>
      <c r="AL155">
        <v>15.987506881592379</v>
      </c>
      <c r="AM155">
        <v>78.53484067061467</v>
      </c>
      <c r="AN155">
        <v>78.53484067061467</v>
      </c>
      <c r="AO155" t="s">
        <v>58</v>
      </c>
      <c r="AP155" t="b">
        <v>1</v>
      </c>
      <c r="AQ155">
        <v>4.9122631347253867</v>
      </c>
      <c r="AR155">
        <v>539.83299999999997</v>
      </c>
      <c r="AS155">
        <v>95.166200000000003</v>
      </c>
      <c r="AT155">
        <v>5.7761297871611443</v>
      </c>
      <c r="AU155" s="5">
        <v>71.089151400000006</v>
      </c>
      <c r="AV155" s="5">
        <v>101.5423354</v>
      </c>
      <c r="AW155" s="5">
        <v>4.3147689510093752</v>
      </c>
      <c r="AX155" s="5">
        <v>6.1631304829009403</v>
      </c>
      <c r="AY155" t="s">
        <v>59</v>
      </c>
      <c r="AZ155" t="s">
        <v>60</v>
      </c>
      <c r="BA155" s="23">
        <f t="shared" si="2"/>
        <v>0</v>
      </c>
      <c r="BB155" s="23">
        <f>IF(AND(ISNUMBER(H155),Metadata!$H$5&gt;Metadata!$G$5),MAX(Metadata!$G$5-H155,0,H155-Metadata!$H$5)/(Metadata!$H$5-Metadata!$G$5),"Missing input")</f>
        <v>0</v>
      </c>
      <c r="BC155" s="23">
        <f>IF(AND(ISNUMBER(L155),Metadata!$H$8&gt;Metadata!$G$8),MAX(Metadata!$G$8-L155,0,L155-Metadata!$H$8)/(Metadata!$H$8-Metadata!$G$8),"Missing input")</f>
        <v>0</v>
      </c>
    </row>
    <row r="156" spans="1:55" x14ac:dyDescent="0.2">
      <c r="A156" t="s">
        <v>227</v>
      </c>
      <c r="B156" t="s">
        <v>213</v>
      </c>
      <c r="C156" t="s">
        <v>84</v>
      </c>
      <c r="D156" t="s">
        <v>55</v>
      </c>
      <c r="E156" t="s">
        <v>56</v>
      </c>
      <c r="F156">
        <v>15</v>
      </c>
      <c r="G156">
        <v>27.308053040943211</v>
      </c>
      <c r="H156">
        <v>5.2772178758296739</v>
      </c>
      <c r="I156">
        <v>1.57</v>
      </c>
      <c r="J156">
        <v>1.5</v>
      </c>
      <c r="K156">
        <v>0.95</v>
      </c>
      <c r="L156">
        <v>0.15</v>
      </c>
      <c r="M156">
        <v>10</v>
      </c>
      <c r="N156">
        <v>110</v>
      </c>
      <c r="Q156">
        <v>0.95199777381508888</v>
      </c>
      <c r="R156">
        <v>386052.96198531118</v>
      </c>
      <c r="S156">
        <v>-2.8685042957133349E-3</v>
      </c>
      <c r="T156">
        <v>428.52672237905682</v>
      </c>
      <c r="U156">
        <v>523.01377383252475</v>
      </c>
      <c r="V156">
        <v>94.806796986516986</v>
      </c>
      <c r="W156">
        <v>5.516627398633724</v>
      </c>
      <c r="X156" t="s">
        <v>57</v>
      </c>
      <c r="Z156">
        <v>401.96300000000002</v>
      </c>
      <c r="AA156">
        <v>95.163399999999996</v>
      </c>
      <c r="AB156">
        <v>51.296399999999998</v>
      </c>
      <c r="AC156">
        <v>17.462996674311931</v>
      </c>
      <c r="AE156">
        <v>95.163399999999996</v>
      </c>
      <c r="AF156" t="s">
        <v>62</v>
      </c>
      <c r="AG156" t="b">
        <v>0</v>
      </c>
      <c r="AH156">
        <v>5.4494312617023724</v>
      </c>
      <c r="AI156">
        <v>396.44600000000003</v>
      </c>
      <c r="AJ156">
        <v>87.677500000000009</v>
      </c>
      <c r="AK156">
        <v>32.289299999999997</v>
      </c>
      <c r="AL156">
        <v>16.7505269275701</v>
      </c>
      <c r="AN156">
        <v>87.677500000000009</v>
      </c>
      <c r="AO156" t="s">
        <v>62</v>
      </c>
      <c r="AP156" t="b">
        <v>0</v>
      </c>
      <c r="AQ156">
        <v>5.2343129490266653</v>
      </c>
      <c r="AR156">
        <v>401.96300000000002</v>
      </c>
      <c r="AS156">
        <v>95.163399999999996</v>
      </c>
      <c r="AT156">
        <v>5.4494312617023724</v>
      </c>
      <c r="AU156" s="5">
        <v>71.087059799999992</v>
      </c>
      <c r="AV156" s="5">
        <v>101.53934779999999</v>
      </c>
      <c r="AW156" s="5">
        <v>4.0707251524916721</v>
      </c>
      <c r="AX156" s="5">
        <v>5.8145431562364314</v>
      </c>
      <c r="AY156" t="s">
        <v>59</v>
      </c>
      <c r="AZ156" t="s">
        <v>60</v>
      </c>
      <c r="BA156" s="23">
        <f t="shared" si="2"/>
        <v>0</v>
      </c>
      <c r="BB156" s="23">
        <f>IF(AND(ISNUMBER(H156),Metadata!$H$5&gt;Metadata!$G$5),MAX(Metadata!$G$5-H156,0,H156-Metadata!$H$5)/(Metadata!$H$5-Metadata!$G$5),"Missing input")</f>
        <v>0</v>
      </c>
      <c r="BC156" s="23">
        <f>IF(AND(ISNUMBER(L156),Metadata!$H$8&gt;Metadata!$G$8),MAX(Metadata!$G$8-L156,0,L156-Metadata!$H$8)/(Metadata!$H$8-Metadata!$G$8),"Missing input")</f>
        <v>0</v>
      </c>
    </row>
    <row r="157" spans="1:55" x14ac:dyDescent="0.2">
      <c r="A157" t="s">
        <v>228</v>
      </c>
      <c r="B157" t="s">
        <v>213</v>
      </c>
      <c r="C157" t="s">
        <v>84</v>
      </c>
      <c r="D157" t="s">
        <v>55</v>
      </c>
      <c r="E157" t="s">
        <v>56</v>
      </c>
      <c r="F157">
        <v>16</v>
      </c>
      <c r="G157">
        <v>31.1252119640606</v>
      </c>
      <c r="H157">
        <v>39.5069074866867</v>
      </c>
      <c r="I157">
        <v>1.57</v>
      </c>
      <c r="J157">
        <v>1.5</v>
      </c>
      <c r="K157">
        <v>0.95</v>
      </c>
      <c r="L157">
        <v>0.15</v>
      </c>
      <c r="M157">
        <v>10</v>
      </c>
      <c r="N157">
        <v>110</v>
      </c>
      <c r="Q157">
        <v>0.95199777381508888</v>
      </c>
      <c r="R157">
        <v>3642703.933702969</v>
      </c>
      <c r="S157">
        <v>-6.3594478082396322E-3</v>
      </c>
      <c r="T157">
        <v>1657.5346780090949</v>
      </c>
      <c r="U157">
        <v>540.61478827953795</v>
      </c>
      <c r="V157">
        <v>366.71121194891492</v>
      </c>
      <c r="W157">
        <v>1.474224868681814</v>
      </c>
      <c r="X157" t="s">
        <v>57</v>
      </c>
      <c r="Z157">
        <v>725.35299999999995</v>
      </c>
      <c r="AA157">
        <v>95.163399999999996</v>
      </c>
      <c r="AB157">
        <v>34.031300000000002</v>
      </c>
      <c r="AC157">
        <v>14.951336174371169</v>
      </c>
      <c r="AD157">
        <v>37.940146345410561</v>
      </c>
      <c r="AE157">
        <v>37.940146345410561</v>
      </c>
      <c r="AF157" t="s">
        <v>58</v>
      </c>
      <c r="AG157" t="b">
        <v>1</v>
      </c>
      <c r="AH157">
        <v>2.537575632233168</v>
      </c>
      <c r="AI157">
        <v>722.23099999999999</v>
      </c>
      <c r="AJ157">
        <v>91.310100000000006</v>
      </c>
      <c r="AK157">
        <v>32.289299999999997</v>
      </c>
      <c r="AL157">
        <v>14.19507633417156</v>
      </c>
      <c r="AM157">
        <v>37.517528997060857</v>
      </c>
      <c r="AN157">
        <v>37.517528997060857</v>
      </c>
      <c r="AO157" t="s">
        <v>58</v>
      </c>
      <c r="AP157" t="b">
        <v>1</v>
      </c>
      <c r="AQ157">
        <v>2.64299593139528</v>
      </c>
      <c r="AR157">
        <v>725.35299999999995</v>
      </c>
      <c r="AS157">
        <v>37.940146345410561</v>
      </c>
      <c r="AT157">
        <v>2.64299593139528</v>
      </c>
      <c r="AU157" s="5">
        <v>28.341289320021691</v>
      </c>
      <c r="AV157" s="5">
        <v>40.482136150553067</v>
      </c>
      <c r="AW157" s="5">
        <v>1.9743179607522741</v>
      </c>
      <c r="AX157" s="5">
        <v>2.8200766587987638</v>
      </c>
      <c r="AY157" t="s">
        <v>59</v>
      </c>
      <c r="AZ157" t="s">
        <v>60</v>
      </c>
      <c r="BA157" s="23">
        <f t="shared" si="2"/>
        <v>0</v>
      </c>
      <c r="BB157" s="23">
        <f>IF(AND(ISNUMBER(H157),Metadata!$H$5&gt;Metadata!$G$5),MAX(Metadata!$G$5-H157,0,H157-Metadata!$H$5)/(Metadata!$H$5-Metadata!$G$5),"Missing input")</f>
        <v>0</v>
      </c>
      <c r="BC157" s="23">
        <f>IF(AND(ISNUMBER(L157),Metadata!$H$8&gt;Metadata!$G$8),MAX(Metadata!$G$8-L157,0,L157-Metadata!$H$8)/(Metadata!$H$8-Metadata!$G$8),"Missing input")</f>
        <v>0</v>
      </c>
    </row>
    <row r="158" spans="1:55" x14ac:dyDescent="0.2">
      <c r="A158" t="s">
        <v>229</v>
      </c>
      <c r="B158" t="s">
        <v>213</v>
      </c>
      <c r="C158" t="s">
        <v>84</v>
      </c>
      <c r="D158" t="s">
        <v>55</v>
      </c>
      <c r="E158" t="s">
        <v>56</v>
      </c>
      <c r="F158">
        <v>17</v>
      </c>
      <c r="G158">
        <v>46.390186033042063</v>
      </c>
      <c r="H158">
        <v>16.21387510983789</v>
      </c>
      <c r="I158">
        <v>1.57</v>
      </c>
      <c r="J158">
        <v>1.5</v>
      </c>
      <c r="K158">
        <v>0.95</v>
      </c>
      <c r="L158">
        <v>0.15</v>
      </c>
      <c r="M158">
        <v>10</v>
      </c>
      <c r="N158">
        <v>110</v>
      </c>
      <c r="Q158">
        <v>0.95199777381508888</v>
      </c>
      <c r="R158">
        <v>2210215.3729856689</v>
      </c>
      <c r="S158">
        <v>-4.5735808720719986E-3</v>
      </c>
      <c r="T158">
        <v>992.19235058261199</v>
      </c>
      <c r="U158">
        <v>601.99581632712739</v>
      </c>
      <c r="V158">
        <v>219.5115819873036</v>
      </c>
      <c r="W158">
        <v>2.742433045569078</v>
      </c>
      <c r="X158" t="s">
        <v>57</v>
      </c>
      <c r="Z158">
        <v>731.71400000000006</v>
      </c>
      <c r="AA158">
        <v>95.163399999999996</v>
      </c>
      <c r="AB158">
        <v>51.296399999999998</v>
      </c>
      <c r="AC158">
        <v>15.978078312125749</v>
      </c>
      <c r="AD158">
        <v>90.461537724039815</v>
      </c>
      <c r="AE158">
        <v>90.461537724039815</v>
      </c>
      <c r="AF158" t="s">
        <v>58</v>
      </c>
      <c r="AG158" t="b">
        <v>1</v>
      </c>
      <c r="AH158">
        <v>5.6616031012558388</v>
      </c>
      <c r="AI158">
        <v>726.28499999999997</v>
      </c>
      <c r="AJ158">
        <v>91.310100000000006</v>
      </c>
      <c r="AK158">
        <v>51.757599999999996</v>
      </c>
      <c r="AL158">
        <v>15.51569372249927</v>
      </c>
      <c r="AM158">
        <v>90.301060226515659</v>
      </c>
      <c r="AN158">
        <v>90.301060226515659</v>
      </c>
      <c r="AO158" t="s">
        <v>58</v>
      </c>
      <c r="AP158" t="b">
        <v>1</v>
      </c>
      <c r="AQ158">
        <v>5.819982131741253</v>
      </c>
      <c r="AR158">
        <v>731.71400000000006</v>
      </c>
      <c r="AS158">
        <v>90.461537724039815</v>
      </c>
      <c r="AT158">
        <v>5.819982131741253</v>
      </c>
      <c r="AU158" s="5">
        <v>67.57476867985774</v>
      </c>
      <c r="AV158" s="5">
        <v>96.522460751550483</v>
      </c>
      <c r="AW158" s="5">
        <v>4.3475266524107159</v>
      </c>
      <c r="AX158" s="5">
        <v>6.2099209345679167</v>
      </c>
      <c r="AY158" t="s">
        <v>59</v>
      </c>
      <c r="AZ158" t="s">
        <v>60</v>
      </c>
      <c r="BA158" s="23">
        <f t="shared" si="2"/>
        <v>0</v>
      </c>
      <c r="BB158" s="23">
        <f>IF(AND(ISNUMBER(H158),Metadata!$H$5&gt;Metadata!$G$5),MAX(Metadata!$G$5-H158,0,H158-Metadata!$H$5)/(Metadata!$H$5-Metadata!$G$5),"Missing input")</f>
        <v>0</v>
      </c>
      <c r="BC158" s="23">
        <f>IF(AND(ISNUMBER(L158),Metadata!$H$8&gt;Metadata!$G$8),MAX(Metadata!$G$8-L158,0,L158-Metadata!$H$8)/(Metadata!$H$8-Metadata!$G$8),"Missing input")</f>
        <v>0</v>
      </c>
    </row>
    <row r="159" spans="1:55" x14ac:dyDescent="0.2">
      <c r="A159" t="s">
        <v>230</v>
      </c>
      <c r="B159" t="s">
        <v>213</v>
      </c>
      <c r="C159" t="s">
        <v>84</v>
      </c>
      <c r="D159" t="s">
        <v>55</v>
      </c>
      <c r="E159" t="s">
        <v>56</v>
      </c>
      <c r="F159">
        <v>18</v>
      </c>
      <c r="G159">
        <v>54.165408264435399</v>
      </c>
      <c r="H159">
        <v>18.25275816413232</v>
      </c>
      <c r="I159">
        <v>1.57</v>
      </c>
      <c r="J159">
        <v>1.5</v>
      </c>
      <c r="K159">
        <v>0.95</v>
      </c>
      <c r="L159">
        <v>0.15</v>
      </c>
      <c r="M159">
        <v>10</v>
      </c>
      <c r="N159">
        <v>110</v>
      </c>
      <c r="Q159">
        <v>0.95199777381508888</v>
      </c>
      <c r="R159">
        <v>2919725.6187367002</v>
      </c>
      <c r="S159">
        <v>-4.874444391011909E-3</v>
      </c>
      <c r="T159">
        <v>1250.244632367107</v>
      </c>
      <c r="U159">
        <v>629.33153478513907</v>
      </c>
      <c r="V159">
        <v>276.6027947714839</v>
      </c>
      <c r="W159">
        <v>2.275217556297878</v>
      </c>
      <c r="X159" t="s">
        <v>57</v>
      </c>
      <c r="Z159">
        <v>853.93899999999996</v>
      </c>
      <c r="AA159">
        <v>95.163399999999996</v>
      </c>
      <c r="AB159">
        <v>51.296399999999998</v>
      </c>
      <c r="AC159">
        <v>15.840196603618431</v>
      </c>
      <c r="AD159">
        <v>77.96458005245222</v>
      </c>
      <c r="AE159">
        <v>77.96458005245222</v>
      </c>
      <c r="AF159" t="s">
        <v>58</v>
      </c>
      <c r="AG159" t="b">
        <v>1</v>
      </c>
      <c r="AH159">
        <v>4.9219452260234284</v>
      </c>
      <c r="AI159">
        <v>848.11800000000005</v>
      </c>
      <c r="AJ159">
        <v>91.310100000000006</v>
      </c>
      <c r="AK159">
        <v>51.757599999999996</v>
      </c>
      <c r="AL159">
        <v>15.49724416452443</v>
      </c>
      <c r="AM159">
        <v>78.497682759527578</v>
      </c>
      <c r="AN159">
        <v>78.497682759527578</v>
      </c>
      <c r="AO159" t="s">
        <v>58</v>
      </c>
      <c r="AP159" t="b">
        <v>1</v>
      </c>
      <c r="AQ159">
        <v>5.0652672130713947</v>
      </c>
      <c r="AR159">
        <v>853.93899999999996</v>
      </c>
      <c r="AS159">
        <v>78.497682759527578</v>
      </c>
      <c r="AT159">
        <v>5.0652672130713947</v>
      </c>
      <c r="AU159" s="5">
        <v>58.637769021367099</v>
      </c>
      <c r="AV159" s="5">
        <v>83.757027504415916</v>
      </c>
      <c r="AW159" s="5">
        <v>3.7837546081643318</v>
      </c>
      <c r="AX159" s="5">
        <v>5.4046401163471778</v>
      </c>
      <c r="AY159" t="s">
        <v>59</v>
      </c>
      <c r="AZ159" t="s">
        <v>60</v>
      </c>
      <c r="BA159" s="23">
        <f t="shared" si="2"/>
        <v>0</v>
      </c>
      <c r="BB159" s="23">
        <f>IF(AND(ISNUMBER(H159),Metadata!$H$5&gt;Metadata!$G$5),MAX(Metadata!$G$5-H159,0,H159-Metadata!$H$5)/(Metadata!$H$5-Metadata!$G$5),"Missing input")</f>
        <v>0</v>
      </c>
      <c r="BC159" s="23">
        <f>IF(AND(ISNUMBER(L159),Metadata!$H$8&gt;Metadata!$G$8),MAX(Metadata!$G$8-L159,0,L159-Metadata!$H$8)/(Metadata!$H$8-Metadata!$G$8),"Missing input")</f>
        <v>0</v>
      </c>
    </row>
    <row r="160" spans="1:55" x14ac:dyDescent="0.2">
      <c r="A160" t="s">
        <v>231</v>
      </c>
      <c r="B160" t="s">
        <v>213</v>
      </c>
      <c r="C160" t="s">
        <v>84</v>
      </c>
      <c r="D160" t="s">
        <v>55</v>
      </c>
      <c r="E160" t="s">
        <v>56</v>
      </c>
      <c r="F160">
        <v>19</v>
      </c>
      <c r="G160">
        <v>21.707483118551171</v>
      </c>
      <c r="H160">
        <v>43.497365085878002</v>
      </c>
      <c r="I160">
        <v>1.57</v>
      </c>
      <c r="J160">
        <v>1.5</v>
      </c>
      <c r="K160">
        <v>0.95</v>
      </c>
      <c r="L160">
        <v>0.15</v>
      </c>
      <c r="M160">
        <v>10</v>
      </c>
      <c r="N160">
        <v>110</v>
      </c>
      <c r="Q160">
        <v>0.95199777381508888</v>
      </c>
      <c r="R160">
        <v>2786376.2799094608</v>
      </c>
      <c r="S160">
        <v>-6.3181804234210548E-3</v>
      </c>
      <c r="T160">
        <v>1327.844178866673</v>
      </c>
      <c r="U160">
        <v>494.78623013884533</v>
      </c>
      <c r="V160">
        <v>293.77083603244972</v>
      </c>
      <c r="W160">
        <v>1.6842591893096961</v>
      </c>
      <c r="X160" t="s">
        <v>57</v>
      </c>
      <c r="Z160">
        <v>577.46500000000003</v>
      </c>
      <c r="AA160">
        <v>95.163399999999996</v>
      </c>
      <c r="AB160">
        <v>32.2684</v>
      </c>
      <c r="AC160">
        <v>14.856816607589661</v>
      </c>
      <c r="AD160">
        <v>36.757578889766442</v>
      </c>
      <c r="AE160">
        <v>36.757578889766442</v>
      </c>
      <c r="AF160" t="s">
        <v>58</v>
      </c>
      <c r="AG160" t="b">
        <v>1</v>
      </c>
      <c r="AH160">
        <v>2.4741221393948352</v>
      </c>
      <c r="AI160">
        <v>580.93299999999999</v>
      </c>
      <c r="AJ160">
        <v>91.310100000000006</v>
      </c>
      <c r="AK160">
        <v>32.289299999999997</v>
      </c>
      <c r="AL160">
        <v>14.37135541273172</v>
      </c>
      <c r="AM160">
        <v>35.917846632888761</v>
      </c>
      <c r="AN160">
        <v>35.917846632888761</v>
      </c>
      <c r="AO160" t="s">
        <v>58</v>
      </c>
      <c r="AP160" t="b">
        <v>1</v>
      </c>
      <c r="AQ160">
        <v>2.4992664645304639</v>
      </c>
      <c r="AR160">
        <v>580.93299999999999</v>
      </c>
      <c r="AS160">
        <v>36.757578889766442</v>
      </c>
      <c r="AT160">
        <v>2.4992664645304639</v>
      </c>
      <c r="AU160" s="5">
        <v>27.457911430655532</v>
      </c>
      <c r="AV160" s="5">
        <v>39.220336675380793</v>
      </c>
      <c r="AW160" s="5">
        <v>1.8669520490042566</v>
      </c>
      <c r="AX160" s="5">
        <v>2.6667173176540047</v>
      </c>
      <c r="AY160" t="s">
        <v>64</v>
      </c>
      <c r="AZ160" t="s">
        <v>7</v>
      </c>
      <c r="BA160" s="23">
        <f t="shared" si="2"/>
        <v>9.4596678167087334E-2</v>
      </c>
      <c r="BB160" s="23">
        <f>IF(AND(ISNUMBER(H160),Metadata!$H$5&gt;Metadata!$G$5),MAX(Metadata!$G$5-H160,0,H160-Metadata!$H$5)/(Metadata!$H$5-Metadata!$G$5),"Missing input")</f>
        <v>9.4596678167087334E-2</v>
      </c>
      <c r="BC160" s="23">
        <f>IF(AND(ISNUMBER(L160),Metadata!$H$8&gt;Metadata!$G$8),MAX(Metadata!$G$8-L160,0,L160-Metadata!$H$8)/(Metadata!$H$8-Metadata!$G$8),"Missing input")</f>
        <v>0</v>
      </c>
    </row>
    <row r="161" spans="1:55" x14ac:dyDescent="0.2">
      <c r="A161" t="s">
        <v>232</v>
      </c>
      <c r="B161" t="s">
        <v>213</v>
      </c>
      <c r="C161" t="s">
        <v>84</v>
      </c>
      <c r="D161" t="s">
        <v>55</v>
      </c>
      <c r="E161" t="s">
        <v>56</v>
      </c>
      <c r="F161">
        <v>20</v>
      </c>
      <c r="G161">
        <v>53.035991243371583</v>
      </c>
      <c r="H161">
        <v>30.34654288470276</v>
      </c>
      <c r="I161">
        <v>1.57</v>
      </c>
      <c r="J161">
        <v>1.5</v>
      </c>
      <c r="K161">
        <v>0.95</v>
      </c>
      <c r="L161">
        <v>0.15</v>
      </c>
      <c r="M161">
        <v>10</v>
      </c>
      <c r="N161">
        <v>110</v>
      </c>
      <c r="Q161">
        <v>0.95199777381508888</v>
      </c>
      <c r="R161">
        <v>4782098.2730990862</v>
      </c>
      <c r="S161">
        <v>-6.1139808677799024E-3</v>
      </c>
      <c r="T161">
        <v>2064.392118408005</v>
      </c>
      <c r="U161">
        <v>625.48866536098092</v>
      </c>
      <c r="V161">
        <v>456.72392000177121</v>
      </c>
      <c r="W161">
        <v>1.369511510057444</v>
      </c>
      <c r="X161" t="s">
        <v>57</v>
      </c>
      <c r="Z161">
        <v>1018.91</v>
      </c>
      <c r="AA161">
        <v>95.163399999999996</v>
      </c>
      <c r="AB161">
        <v>41.025399999999998</v>
      </c>
      <c r="AC161">
        <v>15.858918931646929</v>
      </c>
      <c r="AD161">
        <v>46.342783361758173</v>
      </c>
      <c r="AE161">
        <v>46.342783361758173</v>
      </c>
      <c r="AF161" t="s">
        <v>58</v>
      </c>
      <c r="AG161" t="b">
        <v>1</v>
      </c>
      <c r="AH161">
        <v>2.9221905705867379</v>
      </c>
      <c r="AI161">
        <v>1015.83</v>
      </c>
      <c r="AJ161">
        <v>91.310100000000006</v>
      </c>
      <c r="AK161">
        <v>39.358900000000013</v>
      </c>
      <c r="AL161">
        <v>15.36899042904291</v>
      </c>
      <c r="AM161">
        <v>47.102573403232768</v>
      </c>
      <c r="AN161">
        <v>47.102573403232768</v>
      </c>
      <c r="AO161" t="s">
        <v>58</v>
      </c>
      <c r="AP161" t="b">
        <v>1</v>
      </c>
      <c r="AQ161">
        <v>3.064779929475566</v>
      </c>
      <c r="AR161">
        <v>1018.91</v>
      </c>
      <c r="AS161">
        <v>47.102573403232768</v>
      </c>
      <c r="AT161">
        <v>3.064779929475566</v>
      </c>
      <c r="AU161" s="5">
        <v>35.185622332214876</v>
      </c>
      <c r="AV161" s="5">
        <v>50.25844582124936</v>
      </c>
      <c r="AW161" s="5">
        <v>2.2893906073182477</v>
      </c>
      <c r="AX161" s="5">
        <v>3.2701201847504286</v>
      </c>
      <c r="AY161" t="s">
        <v>59</v>
      </c>
      <c r="AZ161" t="s">
        <v>60</v>
      </c>
      <c r="BA161" s="23">
        <f t="shared" si="2"/>
        <v>0</v>
      </c>
      <c r="BB161" s="23">
        <f>IF(AND(ISNUMBER(H161),Metadata!$H$5&gt;Metadata!$G$5),MAX(Metadata!$G$5-H161,0,H161-Metadata!$H$5)/(Metadata!$H$5-Metadata!$G$5),"Missing input")</f>
        <v>0</v>
      </c>
      <c r="BC161" s="23">
        <f>IF(AND(ISNUMBER(L161),Metadata!$H$8&gt;Metadata!$G$8),MAX(Metadata!$G$8-L161,0,L161-Metadata!$H$8)/(Metadata!$H$8-Metadata!$G$8),"Missing input")</f>
        <v>0</v>
      </c>
    </row>
    <row r="162" spans="1:55" x14ac:dyDescent="0.2">
      <c r="A162" t="s">
        <v>233</v>
      </c>
      <c r="B162" t="s">
        <v>234</v>
      </c>
      <c r="C162" t="s">
        <v>84</v>
      </c>
      <c r="D162" t="s">
        <v>55</v>
      </c>
      <c r="E162" t="s">
        <v>56</v>
      </c>
      <c r="F162">
        <v>1</v>
      </c>
      <c r="G162">
        <v>22.11413992487228</v>
      </c>
      <c r="H162">
        <v>28.832065765515338</v>
      </c>
      <c r="I162">
        <v>1.57</v>
      </c>
      <c r="J162">
        <v>1.5</v>
      </c>
      <c r="K162">
        <v>1.2</v>
      </c>
      <c r="L162">
        <v>0.2</v>
      </c>
      <c r="M162">
        <v>12</v>
      </c>
      <c r="N162">
        <v>125</v>
      </c>
      <c r="Q162">
        <v>1.206371578978481</v>
      </c>
      <c r="R162">
        <v>1866510.334985178</v>
      </c>
      <c r="S162">
        <v>-6.8019142076038604E-3</v>
      </c>
      <c r="T162">
        <v>931.93139645531812</v>
      </c>
      <c r="U162">
        <v>584.50529719569556</v>
      </c>
      <c r="V162">
        <v>206.1795124901146</v>
      </c>
      <c r="W162">
        <v>2.834933937598286</v>
      </c>
      <c r="X162" t="s">
        <v>57</v>
      </c>
      <c r="Z162">
        <v>578.56500000000005</v>
      </c>
      <c r="AA162">
        <v>95.163399999999996</v>
      </c>
      <c r="AB162">
        <v>44.3125</v>
      </c>
      <c r="AC162">
        <v>18.012277638006839</v>
      </c>
      <c r="AD162">
        <v>54.716845507106697</v>
      </c>
      <c r="AE162">
        <v>54.716845507106697</v>
      </c>
      <c r="AF162" t="s">
        <v>58</v>
      </c>
      <c r="AG162" t="b">
        <v>1</v>
      </c>
      <c r="AH162">
        <v>3.0377527265986242</v>
      </c>
      <c r="AI162">
        <v>574.48699999999997</v>
      </c>
      <c r="AJ162">
        <v>91.310100000000006</v>
      </c>
      <c r="AK162">
        <v>43.8568</v>
      </c>
      <c r="AL162">
        <v>17.57216886256851</v>
      </c>
      <c r="AM162">
        <v>54.752014209354122</v>
      </c>
      <c r="AN162">
        <v>54.752014209354122</v>
      </c>
      <c r="AO162" t="s">
        <v>58</v>
      </c>
      <c r="AP162" t="b">
        <v>1</v>
      </c>
      <c r="AQ162">
        <v>3.115837016908285</v>
      </c>
      <c r="AR162">
        <v>578.56500000000005</v>
      </c>
      <c r="AS162">
        <v>54.752014209354122</v>
      </c>
      <c r="AT162">
        <v>3.115837016908285</v>
      </c>
      <c r="AU162" s="5">
        <v>40.899754614387533</v>
      </c>
      <c r="AV162" s="5">
        <v>58.420399161380843</v>
      </c>
      <c r="AW162" s="5">
        <v>2.3275302516304888</v>
      </c>
      <c r="AX162" s="5">
        <v>3.32459809704114</v>
      </c>
      <c r="AY162" t="s">
        <v>59</v>
      </c>
      <c r="AZ162" t="s">
        <v>60</v>
      </c>
      <c r="BA162" s="23">
        <f t="shared" si="2"/>
        <v>0</v>
      </c>
      <c r="BB162" s="23">
        <f>IF(AND(ISNUMBER(H162),Metadata!$H$5&gt;Metadata!$G$5),MAX(Metadata!$G$5-H162,0,H162-Metadata!$H$5)/(Metadata!$H$5-Metadata!$G$5),"Missing input")</f>
        <v>0</v>
      </c>
      <c r="BC162" s="23">
        <f>IF(AND(ISNUMBER(L162),Metadata!$H$8&gt;Metadata!$G$8),MAX(Metadata!$G$8-L162,0,L162-Metadata!$H$8)/(Metadata!$H$8-Metadata!$G$8),"Missing input")</f>
        <v>0</v>
      </c>
    </row>
    <row r="163" spans="1:55" x14ac:dyDescent="0.2">
      <c r="A163" t="s">
        <v>235</v>
      </c>
      <c r="B163" t="s">
        <v>234</v>
      </c>
      <c r="C163" t="s">
        <v>84</v>
      </c>
      <c r="D163" t="s">
        <v>55</v>
      </c>
      <c r="E163" t="s">
        <v>56</v>
      </c>
      <c r="F163">
        <v>2</v>
      </c>
      <c r="G163">
        <v>39.289372610104301</v>
      </c>
      <c r="H163">
        <v>11.43599740060767</v>
      </c>
      <c r="I163">
        <v>1.57</v>
      </c>
      <c r="J163">
        <v>1.5</v>
      </c>
      <c r="K163">
        <v>1.2</v>
      </c>
      <c r="L163">
        <v>0.2</v>
      </c>
      <c r="M163">
        <v>12</v>
      </c>
      <c r="N163">
        <v>125</v>
      </c>
      <c r="Q163">
        <v>1.206371578978481</v>
      </c>
      <c r="R163">
        <v>1301660.814121977</v>
      </c>
      <c r="S163">
        <v>-4.2378203924890367E-3</v>
      </c>
      <c r="T163">
        <v>682.24591859950192</v>
      </c>
      <c r="U163">
        <v>662.50252175368632</v>
      </c>
      <c r="V163">
        <v>150.93936252201371</v>
      </c>
      <c r="W163">
        <v>4.3891965003964017</v>
      </c>
      <c r="X163" t="s">
        <v>57</v>
      </c>
      <c r="Z163">
        <v>610.024</v>
      </c>
      <c r="AA163">
        <v>95.163399999999996</v>
      </c>
      <c r="AB163">
        <v>65.006200000000007</v>
      </c>
      <c r="AC163">
        <v>17.533671210838271</v>
      </c>
      <c r="AE163">
        <v>95.163399999999996</v>
      </c>
      <c r="AF163" t="s">
        <v>62</v>
      </c>
      <c r="AG163" t="b">
        <v>0</v>
      </c>
      <c r="AH163">
        <v>5.4274657517916518</v>
      </c>
      <c r="AI163">
        <v>604.01300000000003</v>
      </c>
      <c r="AJ163">
        <v>91.310100000000006</v>
      </c>
      <c r="AK163">
        <v>64.811499999999995</v>
      </c>
      <c r="AL163">
        <v>16.972765722752719</v>
      </c>
      <c r="AN163">
        <v>91.310100000000006</v>
      </c>
      <c r="AO163" t="s">
        <v>62</v>
      </c>
      <c r="AP163" t="b">
        <v>0</v>
      </c>
      <c r="AQ163">
        <v>5.3798008816910077</v>
      </c>
      <c r="AR163">
        <v>610.024</v>
      </c>
      <c r="AS163">
        <v>95.163399999999996</v>
      </c>
      <c r="AT163">
        <v>5.4274657517916518</v>
      </c>
      <c r="AU163" s="5">
        <v>71.087059799999992</v>
      </c>
      <c r="AV163" s="5">
        <v>101.53934779999999</v>
      </c>
      <c r="AW163" s="5">
        <v>4.0543169165883635</v>
      </c>
      <c r="AX163" s="5">
        <v>5.7911059571616921</v>
      </c>
      <c r="AY163" t="s">
        <v>59</v>
      </c>
      <c r="AZ163" t="s">
        <v>60</v>
      </c>
      <c r="BA163" s="23">
        <f t="shared" si="2"/>
        <v>0</v>
      </c>
      <c r="BB163" s="23">
        <f>IF(AND(ISNUMBER(H163),Metadata!$H$5&gt;Metadata!$G$5),MAX(Metadata!$G$5-H163,0,H163-Metadata!$H$5)/(Metadata!$H$5-Metadata!$G$5),"Missing input")</f>
        <v>0</v>
      </c>
      <c r="BC163" s="23">
        <f>IF(AND(ISNUMBER(L163),Metadata!$H$8&gt;Metadata!$G$8),MAX(Metadata!$G$8-L163,0,L163-Metadata!$H$8)/(Metadata!$H$8-Metadata!$G$8),"Missing input")</f>
        <v>0</v>
      </c>
    </row>
    <row r="164" spans="1:55" x14ac:dyDescent="0.2">
      <c r="A164" t="s">
        <v>236</v>
      </c>
      <c r="B164" t="s">
        <v>234</v>
      </c>
      <c r="C164" t="s">
        <v>84</v>
      </c>
      <c r="D164" t="s">
        <v>55</v>
      </c>
      <c r="E164" t="s">
        <v>56</v>
      </c>
      <c r="F164">
        <v>3</v>
      </c>
      <c r="G164">
        <v>50.720967279676117</v>
      </c>
      <c r="H164">
        <v>41.572102032205443</v>
      </c>
      <c r="I164">
        <v>1.57</v>
      </c>
      <c r="J164">
        <v>1.5</v>
      </c>
      <c r="K164">
        <v>1.2</v>
      </c>
      <c r="L164">
        <v>0.2</v>
      </c>
      <c r="M164">
        <v>12</v>
      </c>
      <c r="N164">
        <v>125</v>
      </c>
      <c r="Q164">
        <v>1.206371578978481</v>
      </c>
      <c r="R164">
        <v>6279453.0057685468</v>
      </c>
      <c r="S164">
        <v>-7.2599014586885984E-3</v>
      </c>
      <c r="T164">
        <v>2795.5189136654449</v>
      </c>
      <c r="U164">
        <v>705.03660698294061</v>
      </c>
      <c r="V164">
        <v>618.47763576669149</v>
      </c>
      <c r="W164">
        <v>1.1399548928053751</v>
      </c>
      <c r="X164" t="s">
        <v>87</v>
      </c>
      <c r="Z164">
        <v>1055.08</v>
      </c>
      <c r="AA164">
        <v>95.163399999999996</v>
      </c>
      <c r="AB164">
        <v>35.290599999999998</v>
      </c>
      <c r="AC164">
        <v>15.767357868736759</v>
      </c>
      <c r="AD164">
        <v>37.937317947725333</v>
      </c>
      <c r="AE164">
        <v>37.937317947725333</v>
      </c>
      <c r="AF164" t="s">
        <v>58</v>
      </c>
      <c r="AG164" t="b">
        <v>1</v>
      </c>
      <c r="AH164">
        <v>2.4060669050295851</v>
      </c>
      <c r="AI164">
        <v>1049.74</v>
      </c>
      <c r="AJ164">
        <v>91.310100000000006</v>
      </c>
      <c r="AK164">
        <v>34.911999999999999</v>
      </c>
      <c r="AL164">
        <v>14.72953438672724</v>
      </c>
      <c r="AM164">
        <v>38.221821504902501</v>
      </c>
      <c r="AN164">
        <v>38.221821504902501</v>
      </c>
      <c r="AO164" t="s">
        <v>58</v>
      </c>
      <c r="AP164" t="b">
        <v>1</v>
      </c>
      <c r="AQ164">
        <v>2.5949103686090802</v>
      </c>
      <c r="AR164">
        <v>1055.08</v>
      </c>
      <c r="AS164">
        <v>38.221821504902501</v>
      </c>
      <c r="AT164">
        <v>2.5949103686090802</v>
      </c>
      <c r="AU164" s="5" t="s">
        <v>88</v>
      </c>
      <c r="AV164" s="5" t="s">
        <v>88</v>
      </c>
      <c r="AW164" s="5" t="s">
        <v>88</v>
      </c>
      <c r="AX164" s="5" t="s">
        <v>88</v>
      </c>
      <c r="AY164" t="s">
        <v>64</v>
      </c>
      <c r="AZ164" t="s">
        <v>7</v>
      </c>
      <c r="BA164" s="23">
        <f t="shared" si="2"/>
        <v>4.6063612035701466E-2</v>
      </c>
      <c r="BB164" s="23">
        <f>IF(AND(ISNUMBER(H164),Metadata!$H$5&gt;Metadata!$G$5),MAX(Metadata!$G$5-H164,0,H164-Metadata!$H$5)/(Metadata!$H$5-Metadata!$G$5),"Missing input")</f>
        <v>4.6063612035701466E-2</v>
      </c>
      <c r="BC164" s="23">
        <f>IF(AND(ISNUMBER(L164),Metadata!$H$8&gt;Metadata!$G$8),MAX(Metadata!$G$8-L164,0,L164-Metadata!$H$8)/(Metadata!$H$8-Metadata!$G$8),"Missing input")</f>
        <v>0</v>
      </c>
    </row>
    <row r="165" spans="1:55" x14ac:dyDescent="0.2">
      <c r="A165" t="s">
        <v>237</v>
      </c>
      <c r="B165" t="s">
        <v>234</v>
      </c>
      <c r="C165" t="s">
        <v>84</v>
      </c>
      <c r="D165" t="s">
        <v>55</v>
      </c>
      <c r="E165" t="s">
        <v>56</v>
      </c>
      <c r="F165">
        <v>4</v>
      </c>
      <c r="G165">
        <v>40.065365059576777</v>
      </c>
      <c r="H165">
        <v>25.23064360495534</v>
      </c>
      <c r="I165">
        <v>1.57</v>
      </c>
      <c r="J165">
        <v>1.5</v>
      </c>
      <c r="K165">
        <v>1.2</v>
      </c>
      <c r="L165">
        <v>0.2</v>
      </c>
      <c r="M165">
        <v>12</v>
      </c>
      <c r="N165">
        <v>125</v>
      </c>
      <c r="Q165">
        <v>1.206371578978481</v>
      </c>
      <c r="R165">
        <v>2986346.165161836</v>
      </c>
      <c r="S165">
        <v>-6.4412462202268544E-3</v>
      </c>
      <c r="T165">
        <v>1323.2635029237761</v>
      </c>
      <c r="U165">
        <v>665.57134416958559</v>
      </c>
      <c r="V165">
        <v>292.75741215127789</v>
      </c>
      <c r="W165">
        <v>2.2734568504303549</v>
      </c>
      <c r="X165" t="s">
        <v>57</v>
      </c>
      <c r="Z165">
        <v>811.43700000000001</v>
      </c>
      <c r="AA165">
        <v>95.163399999999996</v>
      </c>
      <c r="AB165">
        <v>49.247999999999998</v>
      </c>
      <c r="AC165">
        <v>17.39417600334448</v>
      </c>
      <c r="AD165">
        <v>61.531174593962731</v>
      </c>
      <c r="AE165">
        <v>61.531174593962731</v>
      </c>
      <c r="AF165" t="s">
        <v>58</v>
      </c>
      <c r="AG165" t="b">
        <v>1</v>
      </c>
      <c r="AH165">
        <v>3.5374584333360639</v>
      </c>
      <c r="AI165">
        <v>808.47199999999998</v>
      </c>
      <c r="AJ165">
        <v>91.310100000000006</v>
      </c>
      <c r="AK165">
        <v>49.353000000000002</v>
      </c>
      <c r="AL165">
        <v>17.096976044152751</v>
      </c>
      <c r="AM165">
        <v>61.354513284834923</v>
      </c>
      <c r="AN165">
        <v>61.354513284834923</v>
      </c>
      <c r="AO165" t="s">
        <v>58</v>
      </c>
      <c r="AP165" t="b">
        <v>1</v>
      </c>
      <c r="AQ165">
        <v>3.588617842499608</v>
      </c>
      <c r="AR165">
        <v>811.43700000000001</v>
      </c>
      <c r="AS165">
        <v>61.531174593962731</v>
      </c>
      <c r="AT165">
        <v>3.588617842499608</v>
      </c>
      <c r="AU165" s="5">
        <v>45.963787421690164</v>
      </c>
      <c r="AV165" s="5">
        <v>65.653763291758224</v>
      </c>
      <c r="AW165" s="5">
        <v>2.6806975283472072</v>
      </c>
      <c r="AX165" s="5">
        <v>3.8290552379470815</v>
      </c>
      <c r="AY165" t="s">
        <v>59</v>
      </c>
      <c r="AZ165" t="s">
        <v>60</v>
      </c>
      <c r="BA165" s="23">
        <f t="shared" si="2"/>
        <v>0</v>
      </c>
      <c r="BB165" s="23">
        <f>IF(AND(ISNUMBER(H165),Metadata!$H$5&gt;Metadata!$G$5),MAX(Metadata!$G$5-H165,0,H165-Metadata!$H$5)/(Metadata!$H$5-Metadata!$G$5),"Missing input")</f>
        <v>0</v>
      </c>
      <c r="BC165" s="23">
        <f>IF(AND(ISNUMBER(L165),Metadata!$H$8&gt;Metadata!$G$8),MAX(Metadata!$G$8-L165,0,L165-Metadata!$H$8)/(Metadata!$H$8-Metadata!$G$8),"Missing input")</f>
        <v>0</v>
      </c>
    </row>
    <row r="166" spans="1:55" x14ac:dyDescent="0.2">
      <c r="A166" t="s">
        <v>238</v>
      </c>
      <c r="B166" t="s">
        <v>234</v>
      </c>
      <c r="C166" t="s">
        <v>84</v>
      </c>
      <c r="D166" t="s">
        <v>55</v>
      </c>
      <c r="E166" t="s">
        <v>56</v>
      </c>
      <c r="F166">
        <v>5</v>
      </c>
      <c r="G166">
        <v>44.691650234033148</v>
      </c>
      <c r="H166">
        <v>35.278860063057749</v>
      </c>
      <c r="I166">
        <v>1.57</v>
      </c>
      <c r="J166">
        <v>1.5</v>
      </c>
      <c r="K166">
        <v>1.2</v>
      </c>
      <c r="L166">
        <v>0.2</v>
      </c>
      <c r="M166">
        <v>12</v>
      </c>
      <c r="N166">
        <v>125</v>
      </c>
      <c r="Q166">
        <v>1.206371578978481</v>
      </c>
      <c r="R166">
        <v>4683732.748780732</v>
      </c>
      <c r="S166">
        <v>-7.1777717279998344E-3</v>
      </c>
      <c r="T166">
        <v>2061.9786008310161</v>
      </c>
      <c r="U166">
        <v>683.28066848046251</v>
      </c>
      <c r="V166">
        <v>456.18995593606547</v>
      </c>
      <c r="W166">
        <v>1.49779858059002</v>
      </c>
      <c r="X166" t="s">
        <v>57</v>
      </c>
      <c r="Z166">
        <v>938.404</v>
      </c>
      <c r="AA166">
        <v>95.163399999999996</v>
      </c>
      <c r="AB166">
        <v>39.531300000000002</v>
      </c>
      <c r="AC166">
        <v>16.143382750716331</v>
      </c>
      <c r="AD166">
        <v>44.865091185950007</v>
      </c>
      <c r="AE166">
        <v>44.865091185950007</v>
      </c>
      <c r="AF166" t="s">
        <v>58</v>
      </c>
      <c r="AG166" t="b">
        <v>1</v>
      </c>
      <c r="AH166">
        <v>2.779162947366729</v>
      </c>
      <c r="AI166">
        <v>940.49400000000003</v>
      </c>
      <c r="AJ166">
        <v>91.310100000000006</v>
      </c>
      <c r="AK166">
        <v>39.358900000000013</v>
      </c>
      <c r="AL166">
        <v>15.74819926981087</v>
      </c>
      <c r="AM166">
        <v>43.754981022886042</v>
      </c>
      <c r="AN166">
        <v>43.754981022886042</v>
      </c>
      <c r="AO166" t="s">
        <v>58</v>
      </c>
      <c r="AP166" t="b">
        <v>1</v>
      </c>
      <c r="AQ166">
        <v>2.778411694774773</v>
      </c>
      <c r="AR166">
        <v>940.49400000000003</v>
      </c>
      <c r="AS166">
        <v>44.865091185950007</v>
      </c>
      <c r="AT166">
        <v>2.779162947366729</v>
      </c>
      <c r="AU166" s="5">
        <v>33.514223115904656</v>
      </c>
      <c r="AV166" s="5">
        <v>47.871052295408653</v>
      </c>
      <c r="AW166" s="5">
        <v>2.0760347216829467</v>
      </c>
      <c r="AX166" s="5">
        <v>2.9653668648402998</v>
      </c>
      <c r="AY166" t="s">
        <v>59</v>
      </c>
      <c r="AZ166" t="s">
        <v>60</v>
      </c>
      <c r="BA166" s="23">
        <f t="shared" si="2"/>
        <v>0</v>
      </c>
      <c r="BB166" s="23">
        <f>IF(AND(ISNUMBER(H166),Metadata!$H$5&gt;Metadata!$G$5),MAX(Metadata!$G$5-H166,0,H166-Metadata!$H$5)/(Metadata!$H$5-Metadata!$G$5),"Missing input")</f>
        <v>0</v>
      </c>
      <c r="BC166" s="23">
        <f>IF(AND(ISNUMBER(L166),Metadata!$H$8&gt;Metadata!$G$8),MAX(Metadata!$G$8-L166,0,L166-Metadata!$H$8)/(Metadata!$H$8-Metadata!$G$8),"Missing input")</f>
        <v>0</v>
      </c>
    </row>
    <row r="167" spans="1:55" x14ac:dyDescent="0.2">
      <c r="A167" t="s">
        <v>239</v>
      </c>
      <c r="B167" t="s">
        <v>234</v>
      </c>
      <c r="C167" t="s">
        <v>84</v>
      </c>
      <c r="D167" t="s">
        <v>55</v>
      </c>
      <c r="E167" t="s">
        <v>56</v>
      </c>
      <c r="F167">
        <v>6</v>
      </c>
      <c r="G167">
        <v>33.086500490231572</v>
      </c>
      <c r="H167">
        <v>19.79580616436397</v>
      </c>
      <c r="I167">
        <v>1.57</v>
      </c>
      <c r="J167">
        <v>1.5</v>
      </c>
      <c r="K167">
        <v>1.2</v>
      </c>
      <c r="L167">
        <v>0.2</v>
      </c>
      <c r="M167">
        <v>12</v>
      </c>
      <c r="N167">
        <v>125</v>
      </c>
      <c r="Q167">
        <v>1.206371578978481</v>
      </c>
      <c r="R167">
        <v>1918643.176085273</v>
      </c>
      <c r="S167">
        <v>-5.6952389250629941E-3</v>
      </c>
      <c r="T167">
        <v>915.0391797947683</v>
      </c>
      <c r="U167">
        <v>636.79316173064251</v>
      </c>
      <c r="V167">
        <v>202.44229641477179</v>
      </c>
      <c r="W167">
        <v>3.145553933185758</v>
      </c>
      <c r="X167" t="s">
        <v>57</v>
      </c>
      <c r="Z167">
        <v>668.87300000000005</v>
      </c>
      <c r="AA167">
        <v>94.749600000000001</v>
      </c>
      <c r="AB167">
        <v>51.296399999999998</v>
      </c>
      <c r="AC167">
        <v>17.995728465025909</v>
      </c>
      <c r="AD167">
        <v>77.856506676760034</v>
      </c>
      <c r="AE167">
        <v>77.856506676760034</v>
      </c>
      <c r="AF167" t="s">
        <v>58</v>
      </c>
      <c r="AG167" t="b">
        <v>1</v>
      </c>
      <c r="AH167">
        <v>4.3263881663957937</v>
      </c>
      <c r="AI167">
        <v>662.05</v>
      </c>
      <c r="AJ167">
        <v>91.118400000000008</v>
      </c>
      <c r="AK167">
        <v>51.757599999999996</v>
      </c>
      <c r="AL167">
        <v>17.449231266846351</v>
      </c>
      <c r="AM167">
        <v>78.324639386349403</v>
      </c>
      <c r="AN167">
        <v>78.324639386349403</v>
      </c>
      <c r="AO167" t="s">
        <v>58</v>
      </c>
      <c r="AP167" t="b">
        <v>1</v>
      </c>
      <c r="AQ167">
        <v>4.4887157599410523</v>
      </c>
      <c r="AR167">
        <v>668.87300000000005</v>
      </c>
      <c r="AS167">
        <v>78.324639386349403</v>
      </c>
      <c r="AT167">
        <v>4.4887157599410523</v>
      </c>
      <c r="AU167" s="5">
        <v>58.508505621603007</v>
      </c>
      <c r="AV167" s="5">
        <v>83.572390225234813</v>
      </c>
      <c r="AW167" s="5">
        <v>3.3530706726759663</v>
      </c>
      <c r="AX167" s="5">
        <v>4.7894597158571024</v>
      </c>
      <c r="AY167" t="s">
        <v>59</v>
      </c>
      <c r="AZ167" t="s">
        <v>60</v>
      </c>
      <c r="BA167" s="23">
        <f t="shared" si="2"/>
        <v>0</v>
      </c>
      <c r="BB167" s="23">
        <f>IF(AND(ISNUMBER(H167),Metadata!$H$5&gt;Metadata!$G$5),MAX(Metadata!$G$5-H167,0,H167-Metadata!$H$5)/(Metadata!$H$5-Metadata!$G$5),"Missing input")</f>
        <v>0</v>
      </c>
      <c r="BC167" s="23">
        <f>IF(AND(ISNUMBER(L167),Metadata!$H$8&gt;Metadata!$G$8),MAX(Metadata!$G$8-L167,0,L167-Metadata!$H$8)/(Metadata!$H$8-Metadata!$G$8),"Missing input")</f>
        <v>0</v>
      </c>
    </row>
    <row r="168" spans="1:55" x14ac:dyDescent="0.2">
      <c r="A168" t="s">
        <v>240</v>
      </c>
      <c r="B168" t="s">
        <v>234</v>
      </c>
      <c r="C168" t="s">
        <v>84</v>
      </c>
      <c r="D168" t="s">
        <v>55</v>
      </c>
      <c r="E168" t="s">
        <v>56</v>
      </c>
      <c r="F168">
        <v>7</v>
      </c>
      <c r="G168">
        <v>42.943727860216583</v>
      </c>
      <c r="H168">
        <v>31.604415760045629</v>
      </c>
      <c r="I168">
        <v>1.57</v>
      </c>
      <c r="J168">
        <v>1.5</v>
      </c>
      <c r="K168">
        <v>1.2</v>
      </c>
      <c r="L168">
        <v>0.2</v>
      </c>
      <c r="M168">
        <v>12</v>
      </c>
      <c r="N168">
        <v>125</v>
      </c>
      <c r="Q168">
        <v>1.206371578978481</v>
      </c>
      <c r="R168">
        <v>4025355.613741619</v>
      </c>
      <c r="S168">
        <v>-7.0041952706225846E-3</v>
      </c>
      <c r="T168">
        <v>1767.125197942283</v>
      </c>
      <c r="U168">
        <v>676.70258304584718</v>
      </c>
      <c r="V168">
        <v>390.95690219962017</v>
      </c>
      <c r="W168">
        <v>1.7308879296888</v>
      </c>
      <c r="X168" t="s">
        <v>57</v>
      </c>
      <c r="Z168">
        <v>897.529</v>
      </c>
      <c r="AA168">
        <v>95.163399999999996</v>
      </c>
      <c r="AB168">
        <v>42.818399999999997</v>
      </c>
      <c r="AC168">
        <v>16.670285940499038</v>
      </c>
      <c r="AD168">
        <v>49.199092917845817</v>
      </c>
      <c r="AE168">
        <v>49.199092917845817</v>
      </c>
      <c r="AF168" t="s">
        <v>58</v>
      </c>
      <c r="AG168" t="b">
        <v>1</v>
      </c>
      <c r="AH168">
        <v>2.951304680282707</v>
      </c>
      <c r="AI168">
        <v>893.524</v>
      </c>
      <c r="AJ168">
        <v>91.310100000000006</v>
      </c>
      <c r="AK168">
        <v>42.482700000000001</v>
      </c>
      <c r="AL168">
        <v>16.173852182952189</v>
      </c>
      <c r="AM168">
        <v>49.334426616302373</v>
      </c>
      <c r="AN168">
        <v>49.334426616302373</v>
      </c>
      <c r="AO168" t="s">
        <v>58</v>
      </c>
      <c r="AP168" t="b">
        <v>1</v>
      </c>
      <c r="AQ168">
        <v>3.0502582846838808</v>
      </c>
      <c r="AR168">
        <v>897.529</v>
      </c>
      <c r="AS168">
        <v>49.334426616302373</v>
      </c>
      <c r="AT168">
        <v>3.0502582846838808</v>
      </c>
      <c r="AU168" s="5">
        <v>36.85281668237787</v>
      </c>
      <c r="AV168" s="5">
        <v>52.639833199594626</v>
      </c>
      <c r="AW168" s="5">
        <v>2.2785429386588589</v>
      </c>
      <c r="AX168" s="5">
        <v>3.2546255897577008</v>
      </c>
      <c r="AY168" t="s">
        <v>59</v>
      </c>
      <c r="AZ168" t="s">
        <v>60</v>
      </c>
      <c r="BA168" s="23">
        <f t="shared" si="2"/>
        <v>0</v>
      </c>
      <c r="BB168" s="23">
        <f>IF(AND(ISNUMBER(H168),Metadata!$H$5&gt;Metadata!$G$5),MAX(Metadata!$G$5-H168,0,H168-Metadata!$H$5)/(Metadata!$H$5-Metadata!$G$5),"Missing input")</f>
        <v>0</v>
      </c>
      <c r="BC168" s="23">
        <f>IF(AND(ISNUMBER(L168),Metadata!$H$8&gt;Metadata!$G$8),MAX(Metadata!$G$8-L168,0,L168-Metadata!$H$8)/(Metadata!$H$8-Metadata!$G$8),"Missing input")</f>
        <v>0</v>
      </c>
    </row>
    <row r="169" spans="1:55" x14ac:dyDescent="0.2">
      <c r="A169" t="s">
        <v>241</v>
      </c>
      <c r="B169" t="s">
        <v>234</v>
      </c>
      <c r="C169" t="s">
        <v>84</v>
      </c>
      <c r="D169" t="s">
        <v>55</v>
      </c>
      <c r="E169" t="s">
        <v>56</v>
      </c>
      <c r="F169">
        <v>8</v>
      </c>
      <c r="G169">
        <v>29.155454969686971</v>
      </c>
      <c r="H169">
        <v>7.3398505058277053</v>
      </c>
      <c r="I169">
        <v>1.57</v>
      </c>
      <c r="J169">
        <v>1.5</v>
      </c>
      <c r="K169">
        <v>1.2</v>
      </c>
      <c r="L169">
        <v>0.2</v>
      </c>
      <c r="M169">
        <v>12</v>
      </c>
      <c r="N169">
        <v>125</v>
      </c>
      <c r="Q169">
        <v>1.206371578978481</v>
      </c>
      <c r="R169">
        <v>595711.36772068124</v>
      </c>
      <c r="S169">
        <v>-3.5064981381853258E-3</v>
      </c>
      <c r="T169">
        <v>480.50831710260849</v>
      </c>
      <c r="U169">
        <v>619.2309654258263</v>
      </c>
      <c r="V169">
        <v>106.3071498014621</v>
      </c>
      <c r="W169">
        <v>5.82492303276209</v>
      </c>
      <c r="X169" t="s">
        <v>57</v>
      </c>
      <c r="Z169">
        <v>475.767</v>
      </c>
      <c r="AA169">
        <v>95.163399999999996</v>
      </c>
      <c r="AB169">
        <v>51.296399999999998</v>
      </c>
      <c r="AC169">
        <v>18.541221580188679</v>
      </c>
      <c r="AE169">
        <v>95.163399999999996</v>
      </c>
      <c r="AF169" t="s">
        <v>62</v>
      </c>
      <c r="AG169" t="b">
        <v>0</v>
      </c>
      <c r="AH169">
        <v>5.132531294576741</v>
      </c>
      <c r="AI169">
        <v>466.55099999999999</v>
      </c>
      <c r="AJ169">
        <v>91.310100000000006</v>
      </c>
      <c r="AK169">
        <v>39.358900000000013</v>
      </c>
      <c r="AL169">
        <v>17.66835720269718</v>
      </c>
      <c r="AN169">
        <v>91.310100000000006</v>
      </c>
      <c r="AO169" t="s">
        <v>62</v>
      </c>
      <c r="AP169" t="b">
        <v>0</v>
      </c>
      <c r="AQ169">
        <v>5.1680016966184592</v>
      </c>
      <c r="AR169">
        <v>475.767</v>
      </c>
      <c r="AS169">
        <v>95.163399999999996</v>
      </c>
      <c r="AT169">
        <v>5.1680016966184592</v>
      </c>
      <c r="AU169" s="5">
        <v>71.087059799999992</v>
      </c>
      <c r="AV169" s="5">
        <v>101.53934779999999</v>
      </c>
      <c r="AW169" s="5">
        <v>3.8604972673739888</v>
      </c>
      <c r="AX169" s="5">
        <v>5.5142578102918955</v>
      </c>
      <c r="AY169" t="s">
        <v>59</v>
      </c>
      <c r="AZ169" t="s">
        <v>60</v>
      </c>
      <c r="BA169" s="23">
        <f t="shared" si="2"/>
        <v>0</v>
      </c>
      <c r="BB169" s="23">
        <f>IF(AND(ISNUMBER(H169),Metadata!$H$5&gt;Metadata!$G$5),MAX(Metadata!$G$5-H169,0,H169-Metadata!$H$5)/(Metadata!$H$5-Metadata!$G$5),"Missing input")</f>
        <v>0</v>
      </c>
      <c r="BC169" s="23">
        <f>IF(AND(ISNUMBER(L169),Metadata!$H$8&gt;Metadata!$G$8),MAX(Metadata!$G$8-L169,0,L169-Metadata!$H$8)/(Metadata!$H$8-Metadata!$G$8),"Missing input")</f>
        <v>0</v>
      </c>
    </row>
    <row r="170" spans="1:55" x14ac:dyDescent="0.2">
      <c r="A170" t="s">
        <v>242</v>
      </c>
      <c r="B170" t="s">
        <v>234</v>
      </c>
      <c r="C170" t="s">
        <v>84</v>
      </c>
      <c r="D170" t="s">
        <v>55</v>
      </c>
      <c r="E170" t="s">
        <v>56</v>
      </c>
      <c r="F170">
        <v>9</v>
      </c>
      <c r="G170">
        <v>59.748609235827082</v>
      </c>
      <c r="H170">
        <v>37.783512331141722</v>
      </c>
      <c r="I170">
        <v>1.57</v>
      </c>
      <c r="J170">
        <v>1.5</v>
      </c>
      <c r="K170">
        <v>1.2</v>
      </c>
      <c r="L170">
        <v>0.2</v>
      </c>
      <c r="M170">
        <v>12</v>
      </c>
      <c r="N170">
        <v>125</v>
      </c>
      <c r="Q170">
        <v>1.206371578978481</v>
      </c>
      <c r="R170">
        <v>6726258.2664913209</v>
      </c>
      <c r="S170">
        <v>-7.2403271313657147E-3</v>
      </c>
      <c r="T170">
        <v>2958.9793454838732</v>
      </c>
      <c r="U170">
        <v>735.32051618790285</v>
      </c>
      <c r="V170">
        <v>654.64144811590108</v>
      </c>
      <c r="W170">
        <v>1.1232416131062299</v>
      </c>
      <c r="X170" t="s">
        <v>87</v>
      </c>
      <c r="Z170">
        <v>1187.3399999999999</v>
      </c>
      <c r="AA170">
        <v>95.163399999999996</v>
      </c>
      <c r="AB170">
        <v>37.809100000000001</v>
      </c>
      <c r="AC170">
        <v>16.309728568272199</v>
      </c>
      <c r="AD170">
        <v>41.469778130938309</v>
      </c>
      <c r="AE170">
        <v>41.469778130938309</v>
      </c>
      <c r="AF170" t="s">
        <v>58</v>
      </c>
      <c r="AG170" t="b">
        <v>1</v>
      </c>
      <c r="AH170">
        <v>2.54264060602521</v>
      </c>
      <c r="AI170">
        <v>1185.1400000000001</v>
      </c>
      <c r="AJ170">
        <v>91.310100000000006</v>
      </c>
      <c r="AK170">
        <v>38.051000000000002</v>
      </c>
      <c r="AL170">
        <v>15.579444091903721</v>
      </c>
      <c r="AM170">
        <v>40.262514314974958</v>
      </c>
      <c r="AN170">
        <v>40.262514314974958</v>
      </c>
      <c r="AO170" t="s">
        <v>58</v>
      </c>
      <c r="AP170" t="b">
        <v>1</v>
      </c>
      <c r="AQ170">
        <v>2.5843357489179262</v>
      </c>
      <c r="AR170">
        <v>1187.3399999999999</v>
      </c>
      <c r="AS170">
        <v>41.469778130938309</v>
      </c>
      <c r="AT170">
        <v>2.5843357489179262</v>
      </c>
      <c r="AU170" s="5" t="s">
        <v>88</v>
      </c>
      <c r="AV170" s="5" t="s">
        <v>88</v>
      </c>
      <c r="AW170" s="5" t="s">
        <v>88</v>
      </c>
      <c r="AX170" s="5" t="s">
        <v>88</v>
      </c>
      <c r="AY170" t="s">
        <v>59</v>
      </c>
      <c r="AZ170" t="s">
        <v>60</v>
      </c>
      <c r="BA170" s="23">
        <f t="shared" si="2"/>
        <v>0</v>
      </c>
      <c r="BB170" s="23">
        <f>IF(AND(ISNUMBER(H170),Metadata!$H$5&gt;Metadata!$G$5),MAX(Metadata!$G$5-H170,0,H170-Metadata!$H$5)/(Metadata!$H$5-Metadata!$G$5),"Missing input")</f>
        <v>0</v>
      </c>
      <c r="BC170" s="23">
        <f>IF(AND(ISNUMBER(L170),Metadata!$H$8&gt;Metadata!$G$8),MAX(Metadata!$G$8-L170,0,L170-Metadata!$H$8)/(Metadata!$H$8-Metadata!$G$8),"Missing input")</f>
        <v>0</v>
      </c>
    </row>
    <row r="171" spans="1:55" x14ac:dyDescent="0.2">
      <c r="A171" t="s">
        <v>243</v>
      </c>
      <c r="B171" t="s">
        <v>234</v>
      </c>
      <c r="C171" t="s">
        <v>84</v>
      </c>
      <c r="D171" t="s">
        <v>55</v>
      </c>
      <c r="E171" t="s">
        <v>56</v>
      </c>
      <c r="F171">
        <v>10</v>
      </c>
      <c r="G171">
        <v>34.746337553007109</v>
      </c>
      <c r="H171">
        <v>23.7414613202046</v>
      </c>
      <c r="I171">
        <v>1.57</v>
      </c>
      <c r="J171">
        <v>1.5</v>
      </c>
      <c r="K171">
        <v>1.2</v>
      </c>
      <c r="L171">
        <v>0.2</v>
      </c>
      <c r="M171">
        <v>12</v>
      </c>
      <c r="N171">
        <v>125</v>
      </c>
      <c r="Q171">
        <v>1.206371578978481</v>
      </c>
      <c r="R171">
        <v>2428507.8121004719</v>
      </c>
      <c r="S171">
        <v>-6.2597842108143833E-3</v>
      </c>
      <c r="T171">
        <v>1111.217336052197</v>
      </c>
      <c r="U171">
        <v>643.89340905540666</v>
      </c>
      <c r="V171">
        <v>245.84454337438001</v>
      </c>
      <c r="W171">
        <v>2.6191079949041831</v>
      </c>
      <c r="X171" t="s">
        <v>57</v>
      </c>
      <c r="Z171">
        <v>728.61</v>
      </c>
      <c r="AA171">
        <v>95.163399999999996</v>
      </c>
      <c r="AB171">
        <v>50.613599999999998</v>
      </c>
      <c r="AC171">
        <v>17.784906066176472</v>
      </c>
      <c r="AD171">
        <v>65.147533540372677</v>
      </c>
      <c r="AE171">
        <v>65.147533540372677</v>
      </c>
      <c r="AF171" t="s">
        <v>58</v>
      </c>
      <c r="AG171" t="b">
        <v>1</v>
      </c>
      <c r="AH171">
        <v>3.6630799902998068</v>
      </c>
      <c r="AI171">
        <v>723.80700000000002</v>
      </c>
      <c r="AJ171">
        <v>91.310100000000006</v>
      </c>
      <c r="AK171">
        <v>50.726999999999997</v>
      </c>
      <c r="AL171">
        <v>17.371390383365821</v>
      </c>
      <c r="AM171">
        <v>64.837835740383071</v>
      </c>
      <c r="AN171">
        <v>64.837835740383071</v>
      </c>
      <c r="AO171" t="s">
        <v>58</v>
      </c>
      <c r="AP171" t="b">
        <v>1</v>
      </c>
      <c r="AQ171">
        <v>3.7324494073007131</v>
      </c>
      <c r="AR171">
        <v>728.61</v>
      </c>
      <c r="AS171">
        <v>65.147533540372677</v>
      </c>
      <c r="AT171">
        <v>3.7324494073007131</v>
      </c>
      <c r="AU171" s="5">
        <v>48.665207554658387</v>
      </c>
      <c r="AV171" s="5">
        <v>69.512418287577646</v>
      </c>
      <c r="AW171" s="5">
        <v>2.7881397072536327</v>
      </c>
      <c r="AX171" s="5">
        <v>3.9825235175898608</v>
      </c>
      <c r="AY171" t="s">
        <v>59</v>
      </c>
      <c r="AZ171" t="s">
        <v>60</v>
      </c>
      <c r="BA171" s="23">
        <f t="shared" si="2"/>
        <v>0</v>
      </c>
      <c r="BB171" s="23">
        <f>IF(AND(ISNUMBER(H171),Metadata!$H$5&gt;Metadata!$G$5),MAX(Metadata!$G$5-H171,0,H171-Metadata!$H$5)/(Metadata!$H$5-Metadata!$G$5),"Missing input")</f>
        <v>0</v>
      </c>
      <c r="BC171" s="23">
        <f>IF(AND(ISNUMBER(L171),Metadata!$H$8&gt;Metadata!$G$8),MAX(Metadata!$G$8-L171,0,L171-Metadata!$H$8)/(Metadata!$H$8-Metadata!$G$8),"Missing input")</f>
        <v>0</v>
      </c>
    </row>
    <row r="172" spans="1:55" x14ac:dyDescent="0.2">
      <c r="A172" t="s">
        <v>244</v>
      </c>
      <c r="B172" t="s">
        <v>234</v>
      </c>
      <c r="C172" t="s">
        <v>84</v>
      </c>
      <c r="D172" t="s">
        <v>55</v>
      </c>
      <c r="E172" t="s">
        <v>56</v>
      </c>
      <c r="F172">
        <v>11</v>
      </c>
      <c r="G172">
        <v>24.502161634428251</v>
      </c>
      <c r="H172">
        <v>33.048591474592847</v>
      </c>
      <c r="I172">
        <v>1.57</v>
      </c>
      <c r="J172">
        <v>1.5</v>
      </c>
      <c r="K172">
        <v>1.2</v>
      </c>
      <c r="L172">
        <v>0.2</v>
      </c>
      <c r="M172">
        <v>12</v>
      </c>
      <c r="N172">
        <v>125</v>
      </c>
      <c r="Q172">
        <v>1.206371578978481</v>
      </c>
      <c r="R172">
        <v>2383007.1153019848</v>
      </c>
      <c r="S172">
        <v>-7.0847246383586027E-3</v>
      </c>
      <c r="T172">
        <v>1134.971999997148</v>
      </c>
      <c r="U172">
        <v>596.83088005461877</v>
      </c>
      <c r="V172">
        <v>251.099999999369</v>
      </c>
      <c r="W172">
        <v>2.376865312847944</v>
      </c>
      <c r="X172" t="s">
        <v>57</v>
      </c>
      <c r="Z172">
        <v>622.69000000000005</v>
      </c>
      <c r="AA172">
        <v>95.122399999999999</v>
      </c>
      <c r="AB172">
        <v>41.324300000000001</v>
      </c>
      <c r="AC172">
        <v>17.062146081923419</v>
      </c>
      <c r="AD172">
        <v>49.682880307560858</v>
      </c>
      <c r="AE172">
        <v>49.682880307560858</v>
      </c>
      <c r="AF172" t="s">
        <v>58</v>
      </c>
      <c r="AG172" t="b">
        <v>1</v>
      </c>
      <c r="AH172">
        <v>2.911877560361392</v>
      </c>
      <c r="AI172">
        <v>621.28599999999994</v>
      </c>
      <c r="AJ172">
        <v>87.718500000000006</v>
      </c>
      <c r="AK172">
        <v>39.358900000000013</v>
      </c>
      <c r="AL172">
        <v>16.688077226463101</v>
      </c>
      <c r="AM172">
        <v>49.725876572393418</v>
      </c>
      <c r="AN172">
        <v>49.725876572393418</v>
      </c>
      <c r="AO172" t="s">
        <v>58</v>
      </c>
      <c r="AP172" t="b">
        <v>1</v>
      </c>
      <c r="AQ172">
        <v>2.9797247398604232</v>
      </c>
      <c r="AR172">
        <v>622.69000000000005</v>
      </c>
      <c r="AS172">
        <v>49.725876572393418</v>
      </c>
      <c r="AT172">
        <v>2.9797247398604232</v>
      </c>
      <c r="AU172" s="5">
        <v>37.145229799577884</v>
      </c>
      <c r="AV172" s="5">
        <v>53.057510302743772</v>
      </c>
      <c r="AW172" s="5">
        <v>2.2258543806757363</v>
      </c>
      <c r="AX172" s="5">
        <v>3.1793662974310712</v>
      </c>
      <c r="AY172" t="s">
        <v>59</v>
      </c>
      <c r="AZ172" t="s">
        <v>60</v>
      </c>
      <c r="BA172" s="23">
        <f t="shared" si="2"/>
        <v>0</v>
      </c>
      <c r="BB172" s="23">
        <f>IF(AND(ISNUMBER(H172),Metadata!$H$5&gt;Metadata!$G$5),MAX(Metadata!$G$5-H172,0,H172-Metadata!$H$5)/(Metadata!$H$5-Metadata!$G$5),"Missing input")</f>
        <v>0</v>
      </c>
      <c r="BC172" s="23">
        <f>IF(AND(ISNUMBER(L172),Metadata!$H$8&gt;Metadata!$G$8),MAX(Metadata!$G$8-L172,0,L172-Metadata!$H$8)/(Metadata!$H$8-Metadata!$G$8),"Missing input")</f>
        <v>0</v>
      </c>
    </row>
    <row r="173" spans="1:55" x14ac:dyDescent="0.2">
      <c r="A173" t="s">
        <v>245</v>
      </c>
      <c r="B173" t="s">
        <v>234</v>
      </c>
      <c r="C173" t="s">
        <v>84</v>
      </c>
      <c r="D173" t="s">
        <v>55</v>
      </c>
      <c r="E173" t="s">
        <v>56</v>
      </c>
      <c r="F173">
        <v>12</v>
      </c>
      <c r="G173">
        <v>56.241153781572699</v>
      </c>
      <c r="H173">
        <v>14.78764467513273</v>
      </c>
      <c r="I173">
        <v>1.57</v>
      </c>
      <c r="J173">
        <v>1.5</v>
      </c>
      <c r="K173">
        <v>1.2</v>
      </c>
      <c r="L173">
        <v>0.2</v>
      </c>
      <c r="M173">
        <v>12</v>
      </c>
      <c r="N173">
        <v>125</v>
      </c>
      <c r="Q173">
        <v>1.206371578978481</v>
      </c>
      <c r="R173">
        <v>2448743.9197241841</v>
      </c>
      <c r="S173">
        <v>-4.845644633200006E-3</v>
      </c>
      <c r="T173">
        <v>1060.8343060705299</v>
      </c>
      <c r="U173">
        <v>723.84618205360596</v>
      </c>
      <c r="V173">
        <v>234.69785532533859</v>
      </c>
      <c r="W173">
        <v>3.084161894237206</v>
      </c>
      <c r="X173" t="s">
        <v>57</v>
      </c>
      <c r="Z173">
        <v>825.81399999999996</v>
      </c>
      <c r="AA173">
        <v>95.163399999999996</v>
      </c>
      <c r="AB173">
        <v>64.5749</v>
      </c>
      <c r="AC173">
        <v>16.781389862306369</v>
      </c>
      <c r="AE173">
        <v>95.163399999999996</v>
      </c>
      <c r="AF173" t="s">
        <v>62</v>
      </c>
      <c r="AG173" t="b">
        <v>0</v>
      </c>
      <c r="AH173">
        <v>5.6707698695298134</v>
      </c>
      <c r="AI173">
        <v>819.98900000000003</v>
      </c>
      <c r="AJ173">
        <v>91.310100000000006</v>
      </c>
      <c r="AK173">
        <v>64.381599999999992</v>
      </c>
      <c r="AL173">
        <v>16.345256759890859</v>
      </c>
      <c r="AN173">
        <v>91.310100000000006</v>
      </c>
      <c r="AO173" t="s">
        <v>62</v>
      </c>
      <c r="AP173" t="b">
        <v>0</v>
      </c>
      <c r="AQ173">
        <v>5.5863362283829723</v>
      </c>
      <c r="AR173">
        <v>825.81399999999996</v>
      </c>
      <c r="AS173">
        <v>95.163399999999996</v>
      </c>
      <c r="AT173">
        <v>5.6707698695298134</v>
      </c>
      <c r="AU173" s="5">
        <v>71.087059799999992</v>
      </c>
      <c r="AV173" s="5">
        <v>101.53934779999999</v>
      </c>
      <c r="AW173" s="5">
        <v>4.2360650925387704</v>
      </c>
      <c r="AX173" s="5">
        <v>6.0507114507883104</v>
      </c>
      <c r="AY173" t="s">
        <v>59</v>
      </c>
      <c r="AZ173" t="s">
        <v>60</v>
      </c>
      <c r="BA173" s="23">
        <f t="shared" si="2"/>
        <v>0</v>
      </c>
      <c r="BB173" s="23">
        <f>IF(AND(ISNUMBER(H173),Metadata!$H$5&gt;Metadata!$G$5),MAX(Metadata!$G$5-H173,0,H173-Metadata!$H$5)/(Metadata!$H$5-Metadata!$G$5),"Missing input")</f>
        <v>0</v>
      </c>
      <c r="BC173" s="23">
        <f>IF(AND(ISNUMBER(L173),Metadata!$H$8&gt;Metadata!$G$8),MAX(Metadata!$G$8-L173,0,L173-Metadata!$H$8)/(Metadata!$H$8-Metadata!$G$8),"Missing input")</f>
        <v>0</v>
      </c>
    </row>
    <row r="174" spans="1:55" x14ac:dyDescent="0.2">
      <c r="A174" t="s">
        <v>246</v>
      </c>
      <c r="B174" t="s">
        <v>234</v>
      </c>
      <c r="C174" t="s">
        <v>84</v>
      </c>
      <c r="D174" t="s">
        <v>55</v>
      </c>
      <c r="E174" t="s">
        <v>56</v>
      </c>
      <c r="F174">
        <v>13</v>
      </c>
      <c r="G174">
        <v>49.119901382435643</v>
      </c>
      <c r="H174">
        <v>22.54933477691009</v>
      </c>
      <c r="I174">
        <v>1.57</v>
      </c>
      <c r="J174">
        <v>1.5</v>
      </c>
      <c r="K174">
        <v>1.2</v>
      </c>
      <c r="L174">
        <v>0.2</v>
      </c>
      <c r="M174">
        <v>12</v>
      </c>
      <c r="N174">
        <v>125</v>
      </c>
      <c r="Q174">
        <v>1.206371578978481</v>
      </c>
      <c r="R174">
        <v>3276584.6264440492</v>
      </c>
      <c r="S174">
        <v>-6.1014814715428219E-3</v>
      </c>
      <c r="T174">
        <v>1412.968799359719</v>
      </c>
      <c r="U174">
        <v>699.39159985804895</v>
      </c>
      <c r="V174">
        <v>312.60371667250428</v>
      </c>
      <c r="W174">
        <v>2.2373105710408381</v>
      </c>
      <c r="X174" t="s">
        <v>57</v>
      </c>
      <c r="Z174">
        <v>898.30399999999997</v>
      </c>
      <c r="AA174">
        <v>95.163399999999996</v>
      </c>
      <c r="AB174">
        <v>51.296399999999998</v>
      </c>
      <c r="AC174">
        <v>17.283130566801621</v>
      </c>
      <c r="AD174">
        <v>68.258259481582527</v>
      </c>
      <c r="AE174">
        <v>68.258259481582527</v>
      </c>
      <c r="AF174" t="s">
        <v>58</v>
      </c>
      <c r="AG174" t="b">
        <v>1</v>
      </c>
      <c r="AH174">
        <v>3.9494152530848039</v>
      </c>
      <c r="AI174">
        <v>892.48699999999997</v>
      </c>
      <c r="AJ174">
        <v>91.310100000000006</v>
      </c>
      <c r="AK174">
        <v>51.757599999999996</v>
      </c>
      <c r="AL174">
        <v>16.916104364023411</v>
      </c>
      <c r="AM174">
        <v>68.1694768671193</v>
      </c>
      <c r="AN174">
        <v>68.1694768671193</v>
      </c>
      <c r="AO174" t="s">
        <v>58</v>
      </c>
      <c r="AP174" t="b">
        <v>1</v>
      </c>
      <c r="AQ174">
        <v>4.0298567211550056</v>
      </c>
      <c r="AR174">
        <v>898.30399999999997</v>
      </c>
      <c r="AS174">
        <v>68.258259481582527</v>
      </c>
      <c r="AT174">
        <v>4.0298567211550056</v>
      </c>
      <c r="AU174" s="5">
        <v>50.988919832742148</v>
      </c>
      <c r="AV174" s="5">
        <v>72.831562866848557</v>
      </c>
      <c r="AW174" s="5">
        <v>3.0103029707027891</v>
      </c>
      <c r="AX174" s="5">
        <v>4.2998571214723906</v>
      </c>
      <c r="AY174" t="s">
        <v>59</v>
      </c>
      <c r="AZ174" t="s">
        <v>60</v>
      </c>
      <c r="BA174" s="23">
        <f t="shared" si="2"/>
        <v>0</v>
      </c>
      <c r="BB174" s="23">
        <f>IF(AND(ISNUMBER(H174),Metadata!$H$5&gt;Metadata!$G$5),MAX(Metadata!$G$5-H174,0,H174-Metadata!$H$5)/(Metadata!$H$5-Metadata!$G$5),"Missing input")</f>
        <v>0</v>
      </c>
      <c r="BC174" s="23">
        <f>IF(AND(ISNUMBER(L174),Metadata!$H$8&gt;Metadata!$G$8),MAX(Metadata!$G$8-L174,0,L174-Metadata!$H$8)/(Metadata!$H$8-Metadata!$G$8),"Missing input")</f>
        <v>0</v>
      </c>
    </row>
    <row r="175" spans="1:55" x14ac:dyDescent="0.2">
      <c r="A175" t="s">
        <v>247</v>
      </c>
      <c r="B175" t="s">
        <v>234</v>
      </c>
      <c r="C175" t="s">
        <v>84</v>
      </c>
      <c r="D175" t="s">
        <v>55</v>
      </c>
      <c r="E175" t="s">
        <v>56</v>
      </c>
      <c r="F175">
        <v>14</v>
      </c>
      <c r="G175">
        <v>37.958866376576751</v>
      </c>
      <c r="H175">
        <v>9.8264864335603903</v>
      </c>
      <c r="I175">
        <v>1.57</v>
      </c>
      <c r="J175">
        <v>1.5</v>
      </c>
      <c r="K175">
        <v>1.2</v>
      </c>
      <c r="L175">
        <v>0.2</v>
      </c>
      <c r="M175">
        <v>12</v>
      </c>
      <c r="N175">
        <v>125</v>
      </c>
      <c r="Q175">
        <v>1.206371578978481</v>
      </c>
      <c r="R175">
        <v>1072728.181448289</v>
      </c>
      <c r="S175">
        <v>-3.946228813894016E-3</v>
      </c>
      <c r="T175">
        <v>610.81355109044614</v>
      </c>
      <c r="U175">
        <v>657.16936649259469</v>
      </c>
      <c r="V175">
        <v>135.13574139169171</v>
      </c>
      <c r="W175">
        <v>4.8630314950342104</v>
      </c>
      <c r="X175" t="s">
        <v>57</v>
      </c>
      <c r="Z175">
        <v>570.68700000000001</v>
      </c>
      <c r="AA175">
        <v>95.163399999999996</v>
      </c>
      <c r="AB175">
        <v>65.006200000000007</v>
      </c>
      <c r="AC175">
        <v>17.596581939579689</v>
      </c>
      <c r="AE175">
        <v>95.163399999999996</v>
      </c>
      <c r="AF175" t="s">
        <v>62</v>
      </c>
      <c r="AG175" t="b">
        <v>0</v>
      </c>
      <c r="AH175">
        <v>5.408061652357075</v>
      </c>
      <c r="AI175">
        <v>564.44600000000003</v>
      </c>
      <c r="AJ175">
        <v>91.310100000000006</v>
      </c>
      <c r="AK175">
        <v>64.811499999999995</v>
      </c>
      <c r="AL175">
        <v>16.996429067025939</v>
      </c>
      <c r="AN175">
        <v>91.310100000000006</v>
      </c>
      <c r="AO175" t="s">
        <v>62</v>
      </c>
      <c r="AP175" t="b">
        <v>0</v>
      </c>
      <c r="AQ175">
        <v>5.3723108330529801</v>
      </c>
      <c r="AR175">
        <v>570.68700000000001</v>
      </c>
      <c r="AS175">
        <v>95.163399999999996</v>
      </c>
      <c r="AT175">
        <v>5.408061652357075</v>
      </c>
      <c r="AU175" s="5">
        <v>71.087059799999992</v>
      </c>
      <c r="AV175" s="5">
        <v>101.53934779999999</v>
      </c>
      <c r="AW175" s="5">
        <v>4.0398220543107346</v>
      </c>
      <c r="AX175" s="5">
        <v>5.7704017830649992</v>
      </c>
      <c r="AY175" t="s">
        <v>59</v>
      </c>
      <c r="AZ175" t="s">
        <v>60</v>
      </c>
      <c r="BA175" s="23">
        <f t="shared" si="2"/>
        <v>0</v>
      </c>
      <c r="BB175" s="23">
        <f>IF(AND(ISNUMBER(H175),Metadata!$H$5&gt;Metadata!$G$5),MAX(Metadata!$G$5-H175,0,H175-Metadata!$H$5)/(Metadata!$H$5-Metadata!$G$5),"Missing input")</f>
        <v>0</v>
      </c>
      <c r="BC175" s="23">
        <f>IF(AND(ISNUMBER(L175),Metadata!$H$8&gt;Metadata!$G$8),MAX(Metadata!$G$8-L175,0,L175-Metadata!$H$8)/(Metadata!$H$8-Metadata!$G$8),"Missing input")</f>
        <v>0</v>
      </c>
    </row>
    <row r="176" spans="1:55" x14ac:dyDescent="0.2">
      <c r="A176" t="s">
        <v>248</v>
      </c>
      <c r="B176" t="s">
        <v>234</v>
      </c>
      <c r="C176" t="s">
        <v>84</v>
      </c>
      <c r="D176" t="s">
        <v>55</v>
      </c>
      <c r="E176" t="s">
        <v>56</v>
      </c>
      <c r="F176">
        <v>15</v>
      </c>
      <c r="G176">
        <v>27.308053040943211</v>
      </c>
      <c r="H176">
        <v>5.2772178758296739</v>
      </c>
      <c r="I176">
        <v>1.57</v>
      </c>
      <c r="J176">
        <v>1.5</v>
      </c>
      <c r="K176">
        <v>1.2</v>
      </c>
      <c r="L176">
        <v>0.2</v>
      </c>
      <c r="M176">
        <v>12</v>
      </c>
      <c r="N176">
        <v>125</v>
      </c>
      <c r="Q176">
        <v>1.206371578978481</v>
      </c>
      <c r="R176">
        <v>386052.96198531118</v>
      </c>
      <c r="S176">
        <v>-3.158552260642569E-3</v>
      </c>
      <c r="T176">
        <v>428.52672237905682</v>
      </c>
      <c r="U176">
        <v>610.56870766568375</v>
      </c>
      <c r="V176">
        <v>94.806796986516986</v>
      </c>
      <c r="W176">
        <v>6.4401364361303779</v>
      </c>
      <c r="X176" t="s">
        <v>57</v>
      </c>
      <c r="Z176">
        <v>437.17200000000003</v>
      </c>
      <c r="AA176">
        <v>95.163399999999996</v>
      </c>
      <c r="AB176">
        <v>51.296399999999998</v>
      </c>
      <c r="AC176">
        <v>18.721098496240611</v>
      </c>
      <c r="AE176">
        <v>95.163399999999996</v>
      </c>
      <c r="AF176" t="s">
        <v>62</v>
      </c>
      <c r="AG176" t="b">
        <v>0</v>
      </c>
      <c r="AH176">
        <v>5.0832166723074401</v>
      </c>
      <c r="AI176">
        <v>429.28300000000002</v>
      </c>
      <c r="AJ176">
        <v>78.431799999999996</v>
      </c>
      <c r="AK176">
        <v>39.358900000000013</v>
      </c>
      <c r="AL176">
        <v>17.858209201985499</v>
      </c>
      <c r="AN176">
        <v>78.431799999999996</v>
      </c>
      <c r="AO176" t="s">
        <v>62</v>
      </c>
      <c r="AP176" t="b">
        <v>0</v>
      </c>
      <c r="AQ176">
        <v>4.3919185352179584</v>
      </c>
      <c r="AR176">
        <v>437.17200000000003</v>
      </c>
      <c r="AS176">
        <v>95.163399999999996</v>
      </c>
      <c r="AT176">
        <v>5.0832166723074401</v>
      </c>
      <c r="AU176" s="5">
        <v>71.087059799999992</v>
      </c>
      <c r="AV176" s="5">
        <v>101.53934779999999</v>
      </c>
      <c r="AW176" s="5">
        <v>3.7971628542136577</v>
      </c>
      <c r="AX176" s="5">
        <v>5.4237921893520387</v>
      </c>
      <c r="AY176" t="s">
        <v>59</v>
      </c>
      <c r="AZ176" t="s">
        <v>60</v>
      </c>
      <c r="BA176" s="23">
        <f t="shared" si="2"/>
        <v>0</v>
      </c>
      <c r="BB176" s="23">
        <f>IF(AND(ISNUMBER(H176),Metadata!$H$5&gt;Metadata!$G$5),MAX(Metadata!$G$5-H176,0,H176-Metadata!$H$5)/(Metadata!$H$5-Metadata!$G$5),"Missing input")</f>
        <v>0</v>
      </c>
      <c r="BC176" s="23">
        <f>IF(AND(ISNUMBER(L176),Metadata!$H$8&gt;Metadata!$G$8),MAX(Metadata!$G$8-L176,0,L176-Metadata!$H$8)/(Metadata!$H$8-Metadata!$G$8),"Missing input")</f>
        <v>0</v>
      </c>
    </row>
    <row r="177" spans="1:55" x14ac:dyDescent="0.2">
      <c r="A177" t="s">
        <v>249</v>
      </c>
      <c r="B177" t="s">
        <v>234</v>
      </c>
      <c r="C177" t="s">
        <v>84</v>
      </c>
      <c r="D177" t="s">
        <v>55</v>
      </c>
      <c r="E177" t="s">
        <v>56</v>
      </c>
      <c r="F177">
        <v>16</v>
      </c>
      <c r="G177">
        <v>31.1252119640606</v>
      </c>
      <c r="H177">
        <v>39.5069074866867</v>
      </c>
      <c r="I177">
        <v>1.57</v>
      </c>
      <c r="J177">
        <v>1.5</v>
      </c>
      <c r="K177">
        <v>1.2</v>
      </c>
      <c r="L177">
        <v>0.2</v>
      </c>
      <c r="M177">
        <v>12</v>
      </c>
      <c r="N177">
        <v>125</v>
      </c>
      <c r="Q177">
        <v>1.206371578978481</v>
      </c>
      <c r="R177">
        <v>3642703.933702969</v>
      </c>
      <c r="S177">
        <v>-7.2597838146484196E-3</v>
      </c>
      <c r="T177">
        <v>1657.5346780090949</v>
      </c>
      <c r="U177">
        <v>628.16972211269695</v>
      </c>
      <c r="V177">
        <v>366.71121194891492</v>
      </c>
      <c r="W177">
        <v>1.712982045938112</v>
      </c>
      <c r="X177" t="s">
        <v>57</v>
      </c>
      <c r="Z177">
        <v>741.46299999999997</v>
      </c>
      <c r="AA177">
        <v>95.163399999999996</v>
      </c>
      <c r="AB177">
        <v>37.053600000000003</v>
      </c>
      <c r="AC177">
        <v>15.978463972675661</v>
      </c>
      <c r="AD177">
        <v>41.233924416908479</v>
      </c>
      <c r="AE177">
        <v>41.233924416908479</v>
      </c>
      <c r="AF177" t="s">
        <v>58</v>
      </c>
      <c r="AG177" t="b">
        <v>1</v>
      </c>
      <c r="AH177">
        <v>2.5805937596643531</v>
      </c>
      <c r="AI177">
        <v>736.95399999999995</v>
      </c>
      <c r="AJ177">
        <v>91.310100000000006</v>
      </c>
      <c r="AK177">
        <v>36.481499999999997</v>
      </c>
      <c r="AL177">
        <v>15.202779595695169</v>
      </c>
      <c r="AM177">
        <v>40.290365942947709</v>
      </c>
      <c r="AN177">
        <v>40.290365942947709</v>
      </c>
      <c r="AO177" t="s">
        <v>58</v>
      </c>
      <c r="AP177" t="b">
        <v>1</v>
      </c>
      <c r="AQ177">
        <v>2.6501973332795239</v>
      </c>
      <c r="AR177">
        <v>741.46299999999997</v>
      </c>
      <c r="AS177">
        <v>41.233924416908479</v>
      </c>
      <c r="AT177">
        <v>2.6501973332795239</v>
      </c>
      <c r="AU177" s="5">
        <v>30.801741539430633</v>
      </c>
      <c r="AV177" s="5">
        <v>43.996597352841349</v>
      </c>
      <c r="AW177" s="5">
        <v>1.9796974079598044</v>
      </c>
      <c r="AX177" s="5">
        <v>2.8277605546092519</v>
      </c>
      <c r="AY177" t="s">
        <v>59</v>
      </c>
      <c r="AZ177" t="s">
        <v>60</v>
      </c>
      <c r="BA177" s="23">
        <f t="shared" si="2"/>
        <v>0</v>
      </c>
      <c r="BB177" s="23">
        <f>IF(AND(ISNUMBER(H177),Metadata!$H$5&gt;Metadata!$G$5),MAX(Metadata!$G$5-H177,0,H177-Metadata!$H$5)/(Metadata!$H$5-Metadata!$G$5),"Missing input")</f>
        <v>0</v>
      </c>
      <c r="BC177" s="23">
        <f>IF(AND(ISNUMBER(L177),Metadata!$H$8&gt;Metadata!$G$8),MAX(Metadata!$G$8-L177,0,L177-Metadata!$H$8)/(Metadata!$H$8-Metadata!$G$8),"Missing input")</f>
        <v>0</v>
      </c>
    </row>
    <row r="178" spans="1:55" x14ac:dyDescent="0.2">
      <c r="A178" t="s">
        <v>250</v>
      </c>
      <c r="B178" t="s">
        <v>234</v>
      </c>
      <c r="C178" t="s">
        <v>84</v>
      </c>
      <c r="D178" t="s">
        <v>55</v>
      </c>
      <c r="E178" t="s">
        <v>56</v>
      </c>
      <c r="F178">
        <v>17</v>
      </c>
      <c r="G178">
        <v>46.390186033042063</v>
      </c>
      <c r="H178">
        <v>16.21387510983789</v>
      </c>
      <c r="I178">
        <v>1.57</v>
      </c>
      <c r="J178">
        <v>1.5</v>
      </c>
      <c r="K178">
        <v>1.2</v>
      </c>
      <c r="L178">
        <v>0.2</v>
      </c>
      <c r="M178">
        <v>12</v>
      </c>
      <c r="N178">
        <v>125</v>
      </c>
      <c r="Q178">
        <v>1.206371578978481</v>
      </c>
      <c r="R178">
        <v>2210215.3729856689</v>
      </c>
      <c r="S178">
        <v>-5.0982081956918966E-3</v>
      </c>
      <c r="T178">
        <v>992.19235058261199</v>
      </c>
      <c r="U178">
        <v>689.55075016028627</v>
      </c>
      <c r="V178">
        <v>219.5115819873036</v>
      </c>
      <c r="W178">
        <v>3.1412955248993168</v>
      </c>
      <c r="X178" t="s">
        <v>57</v>
      </c>
      <c r="Z178">
        <v>747.79899999999998</v>
      </c>
      <c r="AA178">
        <v>95.156199999999998</v>
      </c>
      <c r="AB178">
        <v>60.2545</v>
      </c>
      <c r="AC178">
        <v>16.57435538888889</v>
      </c>
      <c r="AD178">
        <v>85.956098431880648</v>
      </c>
      <c r="AE178">
        <v>85.956098431880648</v>
      </c>
      <c r="AF178" t="s">
        <v>58</v>
      </c>
      <c r="AG178" t="b">
        <v>1</v>
      </c>
      <c r="AH178">
        <v>5.186089981484522</v>
      </c>
      <c r="AI178">
        <v>742.74</v>
      </c>
      <c r="AJ178">
        <v>91.3172</v>
      </c>
      <c r="AK178">
        <v>39.358900000000013</v>
      </c>
      <c r="AL178">
        <v>16.155579297437381</v>
      </c>
      <c r="AM178">
        <v>39.474686806355727</v>
      </c>
      <c r="AN178">
        <v>39.474686806355727</v>
      </c>
      <c r="AO178" t="s">
        <v>58</v>
      </c>
      <c r="AP178" t="b">
        <v>1</v>
      </c>
      <c r="AQ178">
        <v>2.4434089350554742</v>
      </c>
      <c r="AR178">
        <v>747.79899999999998</v>
      </c>
      <c r="AS178">
        <v>85.956098431880648</v>
      </c>
      <c r="AT178">
        <v>5.186089981484522</v>
      </c>
      <c r="AU178" s="5">
        <v>64.209205528614845</v>
      </c>
      <c r="AV178" s="5">
        <v>91.715157026816641</v>
      </c>
      <c r="AW178" s="5">
        <v>3.8740092161689379</v>
      </c>
      <c r="AX178" s="5">
        <v>5.5335580102439845</v>
      </c>
      <c r="AY178" t="s">
        <v>59</v>
      </c>
      <c r="AZ178" t="s">
        <v>60</v>
      </c>
      <c r="BA178" s="23">
        <f t="shared" si="2"/>
        <v>0</v>
      </c>
      <c r="BB178" s="23">
        <f>IF(AND(ISNUMBER(H178),Metadata!$H$5&gt;Metadata!$G$5),MAX(Metadata!$G$5-H178,0,H178-Metadata!$H$5)/(Metadata!$H$5-Metadata!$G$5),"Missing input")</f>
        <v>0</v>
      </c>
      <c r="BC178" s="23">
        <f>IF(AND(ISNUMBER(L178),Metadata!$H$8&gt;Metadata!$G$8),MAX(Metadata!$G$8-L178,0,L178-Metadata!$H$8)/(Metadata!$H$8-Metadata!$G$8),"Missing input")</f>
        <v>0</v>
      </c>
    </row>
    <row r="179" spans="1:55" x14ac:dyDescent="0.2">
      <c r="A179" t="s">
        <v>251</v>
      </c>
      <c r="B179" t="s">
        <v>234</v>
      </c>
      <c r="C179" t="s">
        <v>84</v>
      </c>
      <c r="D179" t="s">
        <v>55</v>
      </c>
      <c r="E179" t="s">
        <v>56</v>
      </c>
      <c r="F179">
        <v>18</v>
      </c>
      <c r="G179">
        <v>54.165408264435399</v>
      </c>
      <c r="H179">
        <v>18.25275816413232</v>
      </c>
      <c r="I179">
        <v>1.57</v>
      </c>
      <c r="J179">
        <v>1.5</v>
      </c>
      <c r="K179">
        <v>1.2</v>
      </c>
      <c r="L179">
        <v>0.2</v>
      </c>
      <c r="M179">
        <v>12</v>
      </c>
      <c r="N179">
        <v>125</v>
      </c>
      <c r="Q179">
        <v>1.206371578978481</v>
      </c>
      <c r="R179">
        <v>2919725.6187367002</v>
      </c>
      <c r="S179">
        <v>-5.4460272873505973E-3</v>
      </c>
      <c r="T179">
        <v>1250.244632367107</v>
      </c>
      <c r="U179">
        <v>716.88646861829795</v>
      </c>
      <c r="V179">
        <v>276.6027947714839</v>
      </c>
      <c r="W179">
        <v>2.5917542489422618</v>
      </c>
      <c r="X179" t="s">
        <v>57</v>
      </c>
      <c r="Z179">
        <v>879.86</v>
      </c>
      <c r="AA179">
        <v>95.163399999999996</v>
      </c>
      <c r="AB179">
        <v>51.296399999999998</v>
      </c>
      <c r="AC179">
        <v>16.910607085292138</v>
      </c>
      <c r="AD179">
        <v>51.558317207946338</v>
      </c>
      <c r="AE179">
        <v>51.558317207946338</v>
      </c>
      <c r="AF179" t="s">
        <v>58</v>
      </c>
      <c r="AG179" t="b">
        <v>1</v>
      </c>
      <c r="AH179">
        <v>3.0488744104751131</v>
      </c>
      <c r="AI179">
        <v>859.06299999999999</v>
      </c>
      <c r="AJ179">
        <v>91.310100000000006</v>
      </c>
      <c r="AK179">
        <v>39.358900000000013</v>
      </c>
      <c r="AL179">
        <v>15.9429091147835</v>
      </c>
      <c r="AM179">
        <v>69.331342897998098</v>
      </c>
      <c r="AN179">
        <v>69.331342897998098</v>
      </c>
      <c r="AO179" t="s">
        <v>58</v>
      </c>
      <c r="AP179" t="b">
        <v>1</v>
      </c>
      <c r="AQ179">
        <v>4.3487259695728122</v>
      </c>
      <c r="AR179">
        <v>879.86</v>
      </c>
      <c r="AS179">
        <v>69.331342897998098</v>
      </c>
      <c r="AT179">
        <v>4.3487259695728122</v>
      </c>
      <c r="AU179" s="5">
        <v>51.790513144804578</v>
      </c>
      <c r="AV179" s="5">
        <v>73.976542872163961</v>
      </c>
      <c r="AW179" s="5">
        <v>3.2484982992708908</v>
      </c>
      <c r="AX179" s="5">
        <v>4.6400906095341901</v>
      </c>
      <c r="AY179" t="s">
        <v>59</v>
      </c>
      <c r="AZ179" t="s">
        <v>60</v>
      </c>
      <c r="BA179" s="23">
        <f t="shared" si="2"/>
        <v>0</v>
      </c>
      <c r="BB179" s="23">
        <f>IF(AND(ISNUMBER(H179),Metadata!$H$5&gt;Metadata!$G$5),MAX(Metadata!$G$5-H179,0,H179-Metadata!$H$5)/(Metadata!$H$5-Metadata!$G$5),"Missing input")</f>
        <v>0</v>
      </c>
      <c r="BC179" s="23">
        <f>IF(AND(ISNUMBER(L179),Metadata!$H$8&gt;Metadata!$G$8),MAX(Metadata!$G$8-L179,0,L179-Metadata!$H$8)/(Metadata!$H$8-Metadata!$G$8),"Missing input")</f>
        <v>0</v>
      </c>
    </row>
    <row r="180" spans="1:55" x14ac:dyDescent="0.2">
      <c r="A180" t="s">
        <v>252</v>
      </c>
      <c r="B180" t="s">
        <v>234</v>
      </c>
      <c r="C180" t="s">
        <v>84</v>
      </c>
      <c r="D180" t="s">
        <v>55</v>
      </c>
      <c r="E180" t="s">
        <v>56</v>
      </c>
      <c r="F180">
        <v>19</v>
      </c>
      <c r="G180">
        <v>21.707483118551171</v>
      </c>
      <c r="H180">
        <v>43.497365085878002</v>
      </c>
      <c r="I180">
        <v>1.57</v>
      </c>
      <c r="J180">
        <v>1.5</v>
      </c>
      <c r="K180">
        <v>1.2</v>
      </c>
      <c r="L180">
        <v>0.2</v>
      </c>
      <c r="M180">
        <v>12</v>
      </c>
      <c r="N180">
        <v>125</v>
      </c>
      <c r="Q180">
        <v>1.206371578978481</v>
      </c>
      <c r="R180">
        <v>2786376.2799094608</v>
      </c>
      <c r="S180">
        <v>-7.2389180040247462E-3</v>
      </c>
      <c r="T180">
        <v>1327.844178866673</v>
      </c>
      <c r="U180">
        <v>582.34116397200432</v>
      </c>
      <c r="V180">
        <v>293.77083603244972</v>
      </c>
      <c r="W180">
        <v>1.982297398328809</v>
      </c>
      <c r="X180" t="s">
        <v>57</v>
      </c>
      <c r="Z180">
        <v>593.077</v>
      </c>
      <c r="AA180">
        <v>95.053899999999999</v>
      </c>
      <c r="AB180">
        <v>35.290599999999998</v>
      </c>
      <c r="AC180">
        <v>15.95538608949416</v>
      </c>
      <c r="AD180">
        <v>37.892328850496028</v>
      </c>
      <c r="AE180">
        <v>37.892328850496028</v>
      </c>
      <c r="AF180" t="s">
        <v>58</v>
      </c>
      <c r="AG180" t="b">
        <v>1</v>
      </c>
      <c r="AH180">
        <v>2.3748926311125911</v>
      </c>
      <c r="AI180">
        <v>587.375</v>
      </c>
      <c r="AJ180">
        <v>91.419499999999999</v>
      </c>
      <c r="AK180">
        <v>32.289299999999997</v>
      </c>
      <c r="AL180">
        <v>15.02626614785992</v>
      </c>
      <c r="AM180">
        <v>39.377120454344947</v>
      </c>
      <c r="AN180">
        <v>39.377120454344947</v>
      </c>
      <c r="AO180" t="s">
        <v>58</v>
      </c>
      <c r="AP180" t="b">
        <v>1</v>
      </c>
      <c r="AQ180">
        <v>2.6205525755280958</v>
      </c>
      <c r="AR180">
        <v>593.077</v>
      </c>
      <c r="AS180">
        <v>39.377120454344947</v>
      </c>
      <c r="AT180">
        <v>2.6205525755280958</v>
      </c>
      <c r="AU180" s="5">
        <v>29.414708979395677</v>
      </c>
      <c r="AV180" s="5">
        <v>42.015387524786057</v>
      </c>
      <c r="AW180" s="5">
        <v>1.9575527739194876</v>
      </c>
      <c r="AX180" s="5">
        <v>2.7961295980884779</v>
      </c>
      <c r="AY180" t="s">
        <v>64</v>
      </c>
      <c r="AZ180" t="s">
        <v>7</v>
      </c>
      <c r="BA180" s="23">
        <f t="shared" si="2"/>
        <v>9.4596678167087334E-2</v>
      </c>
      <c r="BB180" s="23">
        <f>IF(AND(ISNUMBER(H180),Metadata!$H$5&gt;Metadata!$G$5),MAX(Metadata!$G$5-H180,0,H180-Metadata!$H$5)/(Metadata!$H$5-Metadata!$G$5),"Missing input")</f>
        <v>9.4596678167087334E-2</v>
      </c>
      <c r="BC180" s="23">
        <f>IF(AND(ISNUMBER(L180),Metadata!$H$8&gt;Metadata!$G$8),MAX(Metadata!$G$8-L180,0,L180-Metadata!$H$8)/(Metadata!$H$8-Metadata!$G$8),"Missing input")</f>
        <v>0</v>
      </c>
    </row>
    <row r="181" spans="1:55" x14ac:dyDescent="0.2">
      <c r="A181" t="s">
        <v>253</v>
      </c>
      <c r="B181" t="s">
        <v>234</v>
      </c>
      <c r="C181" t="s">
        <v>84</v>
      </c>
      <c r="D181" t="s">
        <v>55</v>
      </c>
      <c r="E181" t="s">
        <v>56</v>
      </c>
      <c r="F181">
        <v>20</v>
      </c>
      <c r="G181">
        <v>53.035991243371583</v>
      </c>
      <c r="H181">
        <v>30.34654288470276</v>
      </c>
      <c r="I181">
        <v>1.57</v>
      </c>
      <c r="J181">
        <v>1.5</v>
      </c>
      <c r="K181">
        <v>1.2</v>
      </c>
      <c r="L181">
        <v>0.2</v>
      </c>
      <c r="M181">
        <v>12</v>
      </c>
      <c r="N181">
        <v>125</v>
      </c>
      <c r="Q181">
        <v>1.206371578978481</v>
      </c>
      <c r="R181">
        <v>4782098.2730990862</v>
      </c>
      <c r="S181">
        <v>-6.9203635018571033E-3</v>
      </c>
      <c r="T181">
        <v>2064.392118408005</v>
      </c>
      <c r="U181">
        <v>713.04359919413969</v>
      </c>
      <c r="V181">
        <v>456.72392000177121</v>
      </c>
      <c r="W181">
        <v>1.561213608412221</v>
      </c>
      <c r="X181" t="s">
        <v>57</v>
      </c>
      <c r="Z181">
        <v>1039.1300000000001</v>
      </c>
      <c r="AA181">
        <v>95.163399999999996</v>
      </c>
      <c r="AB181">
        <v>44.3125</v>
      </c>
      <c r="AC181">
        <v>16.840022493716841</v>
      </c>
      <c r="AD181">
        <v>51.179635755084021</v>
      </c>
      <c r="AE181">
        <v>51.179635755084021</v>
      </c>
      <c r="AF181" t="s">
        <v>58</v>
      </c>
      <c r="AG181" t="b">
        <v>1</v>
      </c>
      <c r="AH181">
        <v>3.0391667097938608</v>
      </c>
      <c r="AI181">
        <v>1035.1500000000001</v>
      </c>
      <c r="AJ181">
        <v>91.310100000000006</v>
      </c>
      <c r="AK181">
        <v>43.8568</v>
      </c>
      <c r="AL181">
        <v>16.350517353208929</v>
      </c>
      <c r="AM181">
        <v>51.27060886907983</v>
      </c>
      <c r="AN181">
        <v>51.27060886907983</v>
      </c>
      <c r="AO181" t="s">
        <v>58</v>
      </c>
      <c r="AP181" t="b">
        <v>1</v>
      </c>
      <c r="AQ181">
        <v>3.135717834580785</v>
      </c>
      <c r="AR181">
        <v>1039.1300000000001</v>
      </c>
      <c r="AS181">
        <v>51.27060886907983</v>
      </c>
      <c r="AT181">
        <v>3.135717834580785</v>
      </c>
      <c r="AU181" s="5">
        <v>38.299144825202632</v>
      </c>
      <c r="AV181" s="5">
        <v>54.705739663308172</v>
      </c>
      <c r="AW181" s="5">
        <v>2.3423812224318463</v>
      </c>
      <c r="AX181" s="5">
        <v>3.3458109294976976</v>
      </c>
      <c r="AY181" t="s">
        <v>59</v>
      </c>
      <c r="AZ181" t="s">
        <v>60</v>
      </c>
      <c r="BA181" s="23">
        <f t="shared" si="2"/>
        <v>0</v>
      </c>
      <c r="BB181" s="23">
        <f>IF(AND(ISNUMBER(H181),Metadata!$H$5&gt;Metadata!$G$5),MAX(Metadata!$G$5-H181,0,H181-Metadata!$H$5)/(Metadata!$H$5-Metadata!$G$5),"Missing input")</f>
        <v>0</v>
      </c>
      <c r="BC181" s="23">
        <f>IF(AND(ISNUMBER(L181),Metadata!$H$8&gt;Metadata!$G$8),MAX(Metadata!$G$8-L181,0,L181-Metadata!$H$8)/(Metadata!$H$8-Metadata!$G$8),"Missing input")</f>
        <v>0</v>
      </c>
    </row>
    <row r="182" spans="1:55" x14ac:dyDescent="0.2">
      <c r="A182" t="s">
        <v>254</v>
      </c>
      <c r="B182" t="s">
        <v>255</v>
      </c>
      <c r="C182" t="s">
        <v>84</v>
      </c>
      <c r="D182" t="s">
        <v>55</v>
      </c>
      <c r="E182" t="s">
        <v>56</v>
      </c>
      <c r="F182">
        <v>1</v>
      </c>
      <c r="G182">
        <v>22.11413992487228</v>
      </c>
      <c r="H182">
        <v>28.832065765515338</v>
      </c>
      <c r="I182">
        <v>1.57</v>
      </c>
      <c r="J182">
        <v>1.5</v>
      </c>
      <c r="K182">
        <v>0.15</v>
      </c>
      <c r="L182">
        <v>0.4</v>
      </c>
      <c r="M182">
        <v>6</v>
      </c>
      <c r="N182">
        <v>250</v>
      </c>
      <c r="Q182">
        <v>0.1507964473723101</v>
      </c>
      <c r="R182">
        <v>1866510.334985178</v>
      </c>
      <c r="S182">
        <v>-4.1109129968180018E-3</v>
      </c>
      <c r="T182">
        <v>931.93139645531812</v>
      </c>
      <c r="U182">
        <v>934.72503252833155</v>
      </c>
      <c r="V182">
        <v>206.1795124901146</v>
      </c>
      <c r="W182">
        <v>4.533549532828328</v>
      </c>
      <c r="X182" t="s">
        <v>57</v>
      </c>
      <c r="Z182">
        <v>499</v>
      </c>
      <c r="AA182">
        <v>95.163399999999996</v>
      </c>
      <c r="AB182">
        <v>35.542400000000001</v>
      </c>
      <c r="AC182">
        <v>13.11854214876033</v>
      </c>
      <c r="AD182">
        <v>40.596833688865757</v>
      </c>
      <c r="AE182">
        <v>40.596833688865757</v>
      </c>
      <c r="AF182" t="s">
        <v>58</v>
      </c>
      <c r="AG182" t="b">
        <v>1</v>
      </c>
      <c r="AH182">
        <v>3.0946147238397259</v>
      </c>
      <c r="AI182">
        <v>496.404</v>
      </c>
      <c r="AJ182">
        <v>91.310100000000006</v>
      </c>
      <c r="AK182">
        <v>32.289299999999997</v>
      </c>
      <c r="AL182">
        <v>12.570291903140371</v>
      </c>
      <c r="AM182">
        <v>39.504789172983017</v>
      </c>
      <c r="AN182">
        <v>39.504789172983017</v>
      </c>
      <c r="AO182" t="s">
        <v>58</v>
      </c>
      <c r="AP182" t="b">
        <v>1</v>
      </c>
      <c r="AQ182">
        <v>3.1427105653062628</v>
      </c>
      <c r="AR182">
        <v>499</v>
      </c>
      <c r="AS182">
        <v>40.596833688865757</v>
      </c>
      <c r="AT182">
        <v>3.1427105653062628</v>
      </c>
      <c r="AU182" s="5">
        <v>30.325834765582719</v>
      </c>
      <c r="AV182" s="5">
        <v>43.31682154601976</v>
      </c>
      <c r="AW182" s="5">
        <v>2.3476047922837782</v>
      </c>
      <c r="AX182" s="5">
        <v>3.3532721731817823</v>
      </c>
      <c r="AY182" t="s">
        <v>59</v>
      </c>
      <c r="AZ182" t="s">
        <v>60</v>
      </c>
      <c r="BA182" s="23">
        <f t="shared" si="2"/>
        <v>0</v>
      </c>
      <c r="BB182" s="23">
        <f>IF(AND(ISNUMBER(H182),Metadata!$H$5&gt;Metadata!$G$5),MAX(Metadata!$G$5-H182,0,H182-Metadata!$H$5)/(Metadata!$H$5-Metadata!$G$5),"Missing input")</f>
        <v>0</v>
      </c>
      <c r="BC182" s="23">
        <f>IF(AND(ISNUMBER(L182),Metadata!$H$8&gt;Metadata!$G$8),MAX(Metadata!$G$8-L182,0,L182-Metadata!$H$8)/(Metadata!$H$8-Metadata!$G$8),"Missing input")</f>
        <v>0</v>
      </c>
    </row>
    <row r="183" spans="1:55" x14ac:dyDescent="0.2">
      <c r="A183" t="s">
        <v>256</v>
      </c>
      <c r="B183" t="s">
        <v>255</v>
      </c>
      <c r="C183" t="s">
        <v>84</v>
      </c>
      <c r="D183" t="s">
        <v>55</v>
      </c>
      <c r="E183" t="s">
        <v>56</v>
      </c>
      <c r="F183">
        <v>2</v>
      </c>
      <c r="G183">
        <v>39.289372610104301</v>
      </c>
      <c r="H183">
        <v>11.43599740060767</v>
      </c>
      <c r="I183">
        <v>1.57</v>
      </c>
      <c r="J183">
        <v>1.5</v>
      </c>
      <c r="K183">
        <v>0.15</v>
      </c>
      <c r="L183">
        <v>0.4</v>
      </c>
      <c r="M183">
        <v>6</v>
      </c>
      <c r="N183">
        <v>250</v>
      </c>
      <c r="Q183">
        <v>0.1507964473723101</v>
      </c>
      <c r="R183">
        <v>1301660.814121977</v>
      </c>
      <c r="S183">
        <v>-2.6778923196880992E-3</v>
      </c>
      <c r="T183">
        <v>682.24591859950192</v>
      </c>
      <c r="U183">
        <v>1012.722257086322</v>
      </c>
      <c r="V183">
        <v>150.93936252201371</v>
      </c>
      <c r="W183">
        <v>6.7094642521669714</v>
      </c>
      <c r="X183" t="s">
        <v>57</v>
      </c>
      <c r="Z183">
        <v>469.209</v>
      </c>
      <c r="AA183">
        <v>95.163399999999996</v>
      </c>
      <c r="AB183">
        <v>60.692900000000002</v>
      </c>
      <c r="AC183">
        <v>11.534289480088489</v>
      </c>
      <c r="AD183">
        <v>89.565406292565683</v>
      </c>
      <c r="AE183">
        <v>89.565406292565683</v>
      </c>
      <c r="AF183" t="s">
        <v>58</v>
      </c>
      <c r="AG183" t="b">
        <v>1</v>
      </c>
      <c r="AH183">
        <v>7.7651429199155588</v>
      </c>
      <c r="AI183">
        <v>468.82900000000001</v>
      </c>
      <c r="AJ183">
        <v>91.310100000000006</v>
      </c>
      <c r="AK183">
        <v>51.757599999999996</v>
      </c>
      <c r="AL183">
        <v>11.079175314795391</v>
      </c>
      <c r="AM183">
        <v>88.985008529895168</v>
      </c>
      <c r="AN183">
        <v>88.985008529895168</v>
      </c>
      <c r="AO183" t="s">
        <v>58</v>
      </c>
      <c r="AP183" t="b">
        <v>1</v>
      </c>
      <c r="AQ183">
        <v>8.0317357566372785</v>
      </c>
      <c r="AR183">
        <v>469.209</v>
      </c>
      <c r="AS183">
        <v>89.565406292565683</v>
      </c>
      <c r="AT183">
        <v>8.0317357566372785</v>
      </c>
      <c r="AU183" s="5">
        <v>66.905358500546569</v>
      </c>
      <c r="AV183" s="5">
        <v>95.566288514167582</v>
      </c>
      <c r="AW183" s="5">
        <v>5.9997066102080474</v>
      </c>
      <c r="AX183" s="5">
        <v>8.5698620523319757</v>
      </c>
      <c r="AY183" t="s">
        <v>59</v>
      </c>
      <c r="AZ183" t="s">
        <v>60</v>
      </c>
      <c r="BA183" s="23">
        <f t="shared" si="2"/>
        <v>0</v>
      </c>
      <c r="BB183" s="23">
        <f>IF(AND(ISNUMBER(H183),Metadata!$H$5&gt;Metadata!$G$5),MAX(Metadata!$G$5-H183,0,H183-Metadata!$H$5)/(Metadata!$H$5-Metadata!$G$5),"Missing input")</f>
        <v>0</v>
      </c>
      <c r="BC183" s="23">
        <f>IF(AND(ISNUMBER(L183),Metadata!$H$8&gt;Metadata!$G$8),MAX(Metadata!$G$8-L183,0,L183-Metadata!$H$8)/(Metadata!$H$8-Metadata!$G$8),"Missing input")</f>
        <v>0</v>
      </c>
    </row>
    <row r="184" spans="1:55" x14ac:dyDescent="0.2">
      <c r="A184" t="s">
        <v>257</v>
      </c>
      <c r="B184" t="s">
        <v>255</v>
      </c>
      <c r="C184" t="s">
        <v>84</v>
      </c>
      <c r="D184" t="s">
        <v>55</v>
      </c>
      <c r="E184" t="s">
        <v>56</v>
      </c>
      <c r="F184">
        <v>3</v>
      </c>
      <c r="G184">
        <v>50.720967279676117</v>
      </c>
      <c r="H184">
        <v>41.572102032205443</v>
      </c>
      <c r="I184">
        <v>1.57</v>
      </c>
      <c r="J184">
        <v>1.5</v>
      </c>
      <c r="K184">
        <v>0.15</v>
      </c>
      <c r="L184">
        <v>0.4</v>
      </c>
      <c r="M184">
        <v>6</v>
      </c>
      <c r="N184">
        <v>250</v>
      </c>
      <c r="Q184">
        <v>0.1507964473723101</v>
      </c>
      <c r="R184">
        <v>6279453.0057685468</v>
      </c>
      <c r="S184">
        <v>-4.3194882462791774E-3</v>
      </c>
      <c r="T184">
        <v>2795.5189136654449</v>
      </c>
      <c r="U184">
        <v>1055.2563423155771</v>
      </c>
      <c r="V184">
        <v>618.47763576669149</v>
      </c>
      <c r="W184">
        <v>1.7062158456343139</v>
      </c>
      <c r="X184" t="s">
        <v>57</v>
      </c>
      <c r="Z184">
        <v>996.43899999999996</v>
      </c>
      <c r="AA184">
        <v>95.163399999999996</v>
      </c>
      <c r="AB184">
        <v>25.7987</v>
      </c>
      <c r="AC184">
        <v>12.639075284090911</v>
      </c>
      <c r="AD184">
        <v>25.892129213022951</v>
      </c>
      <c r="AE184">
        <v>25.892129213022951</v>
      </c>
      <c r="AF184" t="s">
        <v>58</v>
      </c>
      <c r="AG184" t="b">
        <v>1</v>
      </c>
      <c r="AH184">
        <v>2.0485778137277149</v>
      </c>
      <c r="AI184">
        <v>1000.77</v>
      </c>
      <c r="AJ184">
        <v>91.310100000000006</v>
      </c>
      <c r="AK184">
        <v>26.0732</v>
      </c>
      <c r="AL184">
        <v>11.670279370879911</v>
      </c>
      <c r="AM184">
        <v>26.552013594166489</v>
      </c>
      <c r="AN184">
        <v>26.552013594166489</v>
      </c>
      <c r="AO184" t="s">
        <v>58</v>
      </c>
      <c r="AP184" t="b">
        <v>1</v>
      </c>
      <c r="AQ184">
        <v>2.275182345713163</v>
      </c>
      <c r="AR184">
        <v>1000.77</v>
      </c>
      <c r="AS184">
        <v>26.552013594166489</v>
      </c>
      <c r="AT184">
        <v>2.275182345713163</v>
      </c>
      <c r="AU184" s="5">
        <v>19.834354154842366</v>
      </c>
      <c r="AV184" s="5">
        <v>28.330998504975643</v>
      </c>
      <c r="AW184" s="5">
        <v>1.6995612122477328</v>
      </c>
      <c r="AX184" s="5">
        <v>2.4276195628759449</v>
      </c>
      <c r="AY184" t="s">
        <v>64</v>
      </c>
      <c r="AZ184" t="s">
        <v>7</v>
      </c>
      <c r="BA184" s="23">
        <f t="shared" si="2"/>
        <v>4.6063612035701466E-2</v>
      </c>
      <c r="BB184" s="23">
        <f>IF(AND(ISNUMBER(H184),Metadata!$H$5&gt;Metadata!$G$5),MAX(Metadata!$G$5-H184,0,H184-Metadata!$H$5)/(Metadata!$H$5-Metadata!$G$5),"Missing input")</f>
        <v>4.6063612035701466E-2</v>
      </c>
      <c r="BC184" s="23">
        <f>IF(AND(ISNUMBER(L184),Metadata!$H$8&gt;Metadata!$G$8),MAX(Metadata!$G$8-L184,0,L184-Metadata!$H$8)/(Metadata!$H$8-Metadata!$G$8),"Missing input")</f>
        <v>0</v>
      </c>
    </row>
    <row r="185" spans="1:55" x14ac:dyDescent="0.2">
      <c r="A185" t="s">
        <v>258</v>
      </c>
      <c r="B185" t="s">
        <v>255</v>
      </c>
      <c r="C185" t="s">
        <v>84</v>
      </c>
      <c r="D185" t="s">
        <v>55</v>
      </c>
      <c r="E185" t="s">
        <v>56</v>
      </c>
      <c r="F185">
        <v>4</v>
      </c>
      <c r="G185">
        <v>40.065365059576777</v>
      </c>
      <c r="H185">
        <v>25.23064360495534</v>
      </c>
      <c r="I185">
        <v>1.57</v>
      </c>
      <c r="J185">
        <v>1.5</v>
      </c>
      <c r="K185">
        <v>0.15</v>
      </c>
      <c r="L185">
        <v>0.4</v>
      </c>
      <c r="M185">
        <v>6</v>
      </c>
      <c r="N185">
        <v>250</v>
      </c>
      <c r="Q185">
        <v>0.1507964473723101</v>
      </c>
      <c r="R185">
        <v>2986346.165161836</v>
      </c>
      <c r="S185">
        <v>-3.921123325136615E-3</v>
      </c>
      <c r="T185">
        <v>1323.2635029237761</v>
      </c>
      <c r="U185">
        <v>1015.791079502222</v>
      </c>
      <c r="V185">
        <v>292.75741215127789</v>
      </c>
      <c r="W185">
        <v>3.4697365031267831</v>
      </c>
      <c r="X185" t="s">
        <v>57</v>
      </c>
      <c r="Z185">
        <v>716.67100000000005</v>
      </c>
      <c r="AA185">
        <v>95.163399999999996</v>
      </c>
      <c r="AB185">
        <v>37.809100000000001</v>
      </c>
      <c r="AC185">
        <v>12.74130304436753</v>
      </c>
      <c r="AD185">
        <v>44.986679920804761</v>
      </c>
      <c r="AE185">
        <v>44.986679920804761</v>
      </c>
      <c r="AF185" t="s">
        <v>58</v>
      </c>
      <c r="AG185" t="b">
        <v>1</v>
      </c>
      <c r="AH185">
        <v>3.5307754445642638</v>
      </c>
      <c r="AI185">
        <v>715.66700000000003</v>
      </c>
      <c r="AJ185">
        <v>91.310100000000006</v>
      </c>
      <c r="AK185">
        <v>38.051000000000002</v>
      </c>
      <c r="AL185">
        <v>12.44530137800418</v>
      </c>
      <c r="AM185">
        <v>44.304947482953843</v>
      </c>
      <c r="AN185">
        <v>44.304947482953843</v>
      </c>
      <c r="AO185" t="s">
        <v>58</v>
      </c>
      <c r="AP185" t="b">
        <v>1</v>
      </c>
      <c r="AQ185">
        <v>3.5599738517588961</v>
      </c>
      <c r="AR185">
        <v>716.67100000000005</v>
      </c>
      <c r="AS185">
        <v>44.986679920804761</v>
      </c>
      <c r="AT185">
        <v>3.5599738517588961</v>
      </c>
      <c r="AU185" s="5">
        <v>33.605049900841159</v>
      </c>
      <c r="AV185" s="5">
        <v>48.000787475498676</v>
      </c>
      <c r="AW185" s="5">
        <v>2.6593004672638956</v>
      </c>
      <c r="AX185" s="5">
        <v>3.798492099826742</v>
      </c>
      <c r="AY185" t="s">
        <v>59</v>
      </c>
      <c r="AZ185" t="s">
        <v>60</v>
      </c>
      <c r="BA185" s="23">
        <f t="shared" si="2"/>
        <v>0</v>
      </c>
      <c r="BB185" s="23">
        <f>IF(AND(ISNUMBER(H185),Metadata!$H$5&gt;Metadata!$G$5),MAX(Metadata!$G$5-H185,0,H185-Metadata!$H$5)/(Metadata!$H$5-Metadata!$G$5),"Missing input")</f>
        <v>0</v>
      </c>
      <c r="BC185" s="23">
        <f>IF(AND(ISNUMBER(L185),Metadata!$H$8&gt;Metadata!$G$8),MAX(Metadata!$G$8-L185,0,L185-Metadata!$H$8)/(Metadata!$H$8-Metadata!$G$8),"Missing input")</f>
        <v>0</v>
      </c>
    </row>
    <row r="186" spans="1:55" x14ac:dyDescent="0.2">
      <c r="A186" t="s">
        <v>259</v>
      </c>
      <c r="B186" t="s">
        <v>255</v>
      </c>
      <c r="C186" t="s">
        <v>84</v>
      </c>
      <c r="D186" t="s">
        <v>55</v>
      </c>
      <c r="E186" t="s">
        <v>56</v>
      </c>
      <c r="F186">
        <v>5</v>
      </c>
      <c r="G186">
        <v>44.691650234033148</v>
      </c>
      <c r="H186">
        <v>35.278860063057749</v>
      </c>
      <c r="I186">
        <v>1.57</v>
      </c>
      <c r="J186">
        <v>1.5</v>
      </c>
      <c r="K186">
        <v>0.15</v>
      </c>
      <c r="L186">
        <v>0.4</v>
      </c>
      <c r="M186">
        <v>6</v>
      </c>
      <c r="N186">
        <v>250</v>
      </c>
      <c r="Q186">
        <v>0.1507964473723101</v>
      </c>
      <c r="R186">
        <v>4683732.748780732</v>
      </c>
      <c r="S186">
        <v>-4.298705634050823E-3</v>
      </c>
      <c r="T186">
        <v>2061.9786008310161</v>
      </c>
      <c r="U186">
        <v>1033.500403813099</v>
      </c>
      <c r="V186">
        <v>456.18995593606547</v>
      </c>
      <c r="W186">
        <v>2.2655045126814288</v>
      </c>
      <c r="X186" t="s">
        <v>57</v>
      </c>
      <c r="Z186">
        <v>877.64499999999998</v>
      </c>
      <c r="AA186">
        <v>95.163399999999996</v>
      </c>
      <c r="AB186">
        <v>28.994299999999999</v>
      </c>
      <c r="AC186">
        <v>12.851283401162791</v>
      </c>
      <c r="AD186">
        <v>30.327898564901311</v>
      </c>
      <c r="AE186">
        <v>30.327898564901311</v>
      </c>
      <c r="AF186" t="s">
        <v>58</v>
      </c>
      <c r="AG186" t="b">
        <v>1</v>
      </c>
      <c r="AH186">
        <v>2.359912050663922</v>
      </c>
      <c r="AI186">
        <v>881.60500000000002</v>
      </c>
      <c r="AJ186">
        <v>91.310100000000006</v>
      </c>
      <c r="AK186">
        <v>29.717099999999999</v>
      </c>
      <c r="AL186">
        <v>12.331355137650251</v>
      </c>
      <c r="AM186">
        <v>31.491647588468119</v>
      </c>
      <c r="AN186">
        <v>31.491647588468119</v>
      </c>
      <c r="AO186" t="s">
        <v>58</v>
      </c>
      <c r="AP186" t="b">
        <v>1</v>
      </c>
      <c r="AQ186">
        <v>2.5537864441449272</v>
      </c>
      <c r="AR186">
        <v>881.60500000000002</v>
      </c>
      <c r="AS186">
        <v>31.491647588468119</v>
      </c>
      <c r="AT186">
        <v>2.5537864441449272</v>
      </c>
      <c r="AU186" s="5">
        <v>23.524260748585686</v>
      </c>
      <c r="AV186" s="5">
        <v>33.60158797689548</v>
      </c>
      <c r="AW186" s="5">
        <v>1.9076784737762607</v>
      </c>
      <c r="AX186" s="5">
        <v>2.724890135902637</v>
      </c>
      <c r="AY186" t="s">
        <v>59</v>
      </c>
      <c r="AZ186" t="s">
        <v>60</v>
      </c>
      <c r="BA186" s="23">
        <f t="shared" si="2"/>
        <v>0</v>
      </c>
      <c r="BB186" s="23">
        <f>IF(AND(ISNUMBER(H186),Metadata!$H$5&gt;Metadata!$G$5),MAX(Metadata!$G$5-H186,0,H186-Metadata!$H$5)/(Metadata!$H$5-Metadata!$G$5),"Missing input")</f>
        <v>0</v>
      </c>
      <c r="BC186" s="23">
        <f>IF(AND(ISNUMBER(L186),Metadata!$H$8&gt;Metadata!$G$8),MAX(Metadata!$G$8-L186,0,L186-Metadata!$H$8)/(Metadata!$H$8-Metadata!$G$8),"Missing input")</f>
        <v>0</v>
      </c>
    </row>
    <row r="187" spans="1:55" x14ac:dyDescent="0.2">
      <c r="A187" t="s">
        <v>260</v>
      </c>
      <c r="B187" t="s">
        <v>255</v>
      </c>
      <c r="C187" t="s">
        <v>84</v>
      </c>
      <c r="D187" t="s">
        <v>55</v>
      </c>
      <c r="E187" t="s">
        <v>56</v>
      </c>
      <c r="F187">
        <v>6</v>
      </c>
      <c r="G187">
        <v>33.086500490231572</v>
      </c>
      <c r="H187">
        <v>19.79580616436397</v>
      </c>
      <c r="I187">
        <v>1.57</v>
      </c>
      <c r="J187">
        <v>1.5</v>
      </c>
      <c r="K187">
        <v>0.15</v>
      </c>
      <c r="L187">
        <v>0.4</v>
      </c>
      <c r="M187">
        <v>6</v>
      </c>
      <c r="N187">
        <v>250</v>
      </c>
      <c r="Q187">
        <v>0.1507964473723101</v>
      </c>
      <c r="R187">
        <v>1918643.176085273</v>
      </c>
      <c r="S187">
        <v>-3.514885317526154E-3</v>
      </c>
      <c r="T187">
        <v>915.0391797947683</v>
      </c>
      <c r="U187">
        <v>987.01289706327861</v>
      </c>
      <c r="V187">
        <v>202.44229641477179</v>
      </c>
      <c r="W187">
        <v>4.8755270738534184</v>
      </c>
      <c r="X187" t="s">
        <v>57</v>
      </c>
      <c r="Z187">
        <v>553.54</v>
      </c>
      <c r="AA187">
        <v>95.332700000000003</v>
      </c>
      <c r="AB187">
        <v>37.809100000000001</v>
      </c>
      <c r="AC187">
        <v>12.239632818846459</v>
      </c>
      <c r="AD187">
        <v>56.844313594232737</v>
      </c>
      <c r="AE187">
        <v>56.844313594232737</v>
      </c>
      <c r="AF187" t="s">
        <v>58</v>
      </c>
      <c r="AG187" t="b">
        <v>1</v>
      </c>
      <c r="AH187">
        <v>4.6442825888293351</v>
      </c>
      <c r="AI187">
        <v>548.53700000000003</v>
      </c>
      <c r="AJ187">
        <v>64.811499999999995</v>
      </c>
      <c r="AK187">
        <v>32.289299999999997</v>
      </c>
      <c r="AL187">
        <v>11.702961874618669</v>
      </c>
      <c r="AN187">
        <v>64.811499999999995</v>
      </c>
      <c r="AO187" t="s">
        <v>62</v>
      </c>
      <c r="AP187" t="b">
        <v>0</v>
      </c>
      <c r="AQ187">
        <v>5.5380424797044654</v>
      </c>
      <c r="AR187">
        <v>553.54</v>
      </c>
      <c r="AS187">
        <v>64.811499999999995</v>
      </c>
      <c r="AT187">
        <v>5.5380424797044654</v>
      </c>
      <c r="AU187" s="5">
        <v>48.414190499999997</v>
      </c>
      <c r="AV187" s="5">
        <v>69.153870499999996</v>
      </c>
      <c r="AW187" s="5">
        <v>4.1369177323392359</v>
      </c>
      <c r="AX187" s="5">
        <v>5.9090913258446642</v>
      </c>
      <c r="AY187" t="s">
        <v>59</v>
      </c>
      <c r="AZ187" t="s">
        <v>60</v>
      </c>
      <c r="BA187" s="23">
        <f t="shared" si="2"/>
        <v>0</v>
      </c>
      <c r="BB187" s="23">
        <f>IF(AND(ISNUMBER(H187),Metadata!$H$5&gt;Metadata!$G$5),MAX(Metadata!$G$5-H187,0,H187-Metadata!$H$5)/(Metadata!$H$5-Metadata!$G$5),"Missing input")</f>
        <v>0</v>
      </c>
      <c r="BC187" s="23">
        <f>IF(AND(ISNUMBER(L187),Metadata!$H$8&gt;Metadata!$G$8),MAX(Metadata!$G$8-L187,0,L187-Metadata!$H$8)/(Metadata!$H$8-Metadata!$G$8),"Missing input")</f>
        <v>0</v>
      </c>
    </row>
    <row r="188" spans="1:55" x14ac:dyDescent="0.2">
      <c r="A188" t="s">
        <v>261</v>
      </c>
      <c r="B188" t="s">
        <v>255</v>
      </c>
      <c r="C188" t="s">
        <v>84</v>
      </c>
      <c r="D188" t="s">
        <v>55</v>
      </c>
      <c r="E188" t="s">
        <v>56</v>
      </c>
      <c r="F188">
        <v>7</v>
      </c>
      <c r="G188">
        <v>42.943727860216583</v>
      </c>
      <c r="H188">
        <v>31.604415760045629</v>
      </c>
      <c r="I188">
        <v>1.57</v>
      </c>
      <c r="J188">
        <v>1.5</v>
      </c>
      <c r="K188">
        <v>0.15</v>
      </c>
      <c r="L188">
        <v>0.4</v>
      </c>
      <c r="M188">
        <v>6</v>
      </c>
      <c r="N188">
        <v>250</v>
      </c>
      <c r="Q188">
        <v>0.1507964473723101</v>
      </c>
      <c r="R188">
        <v>4025355.613741619</v>
      </c>
      <c r="S188">
        <v>-4.2144209197447612E-3</v>
      </c>
      <c r="T188">
        <v>1767.125197942283</v>
      </c>
      <c r="U188">
        <v>1026.9223183784829</v>
      </c>
      <c r="V188">
        <v>390.95690219962017</v>
      </c>
      <c r="W188">
        <v>2.6266893169061971</v>
      </c>
      <c r="X188" t="s">
        <v>57</v>
      </c>
      <c r="Z188">
        <v>827.12</v>
      </c>
      <c r="AA188">
        <v>95.163399999999996</v>
      </c>
      <c r="AB188">
        <v>32.016500000000001</v>
      </c>
      <c r="AC188">
        <v>12.99642191673213</v>
      </c>
      <c r="AD188">
        <v>35.111264193742187</v>
      </c>
      <c r="AE188">
        <v>35.111264193742187</v>
      </c>
      <c r="AF188" t="s">
        <v>58</v>
      </c>
      <c r="AG188" t="b">
        <v>1</v>
      </c>
      <c r="AH188">
        <v>2.7016100599610811</v>
      </c>
      <c r="AI188">
        <v>827.47500000000002</v>
      </c>
      <c r="AJ188">
        <v>91.310100000000006</v>
      </c>
      <c r="AK188">
        <v>32.289299999999997</v>
      </c>
      <c r="AL188">
        <v>12.548316979412389</v>
      </c>
      <c r="AM188">
        <v>34.981014835121798</v>
      </c>
      <c r="AN188">
        <v>34.981014835121798</v>
      </c>
      <c r="AO188" t="s">
        <v>58</v>
      </c>
      <c r="AP188" t="b">
        <v>1</v>
      </c>
      <c r="AQ188">
        <v>2.787705705276172</v>
      </c>
      <c r="AR188">
        <v>827.47500000000002</v>
      </c>
      <c r="AS188">
        <v>35.111264193742187</v>
      </c>
      <c r="AT188">
        <v>2.787705705276172</v>
      </c>
      <c r="AU188" s="5">
        <v>26.228114352725413</v>
      </c>
      <c r="AV188" s="5">
        <v>37.463718894722909</v>
      </c>
      <c r="AW188" s="5">
        <v>2.0824161618413006</v>
      </c>
      <c r="AX188" s="5">
        <v>2.9744819875296753</v>
      </c>
      <c r="AY188" t="s">
        <v>59</v>
      </c>
      <c r="AZ188" t="s">
        <v>60</v>
      </c>
      <c r="BA188" s="23">
        <f t="shared" si="2"/>
        <v>0</v>
      </c>
      <c r="BB188" s="23">
        <f>IF(AND(ISNUMBER(H188),Metadata!$H$5&gt;Metadata!$G$5),MAX(Metadata!$G$5-H188,0,H188-Metadata!$H$5)/(Metadata!$H$5-Metadata!$G$5),"Missing input")</f>
        <v>0</v>
      </c>
      <c r="BC188" s="23">
        <f>IF(AND(ISNUMBER(L188),Metadata!$H$8&gt;Metadata!$G$8),MAX(Metadata!$G$8-L188,0,L188-Metadata!$H$8)/(Metadata!$H$8-Metadata!$G$8),"Missing input")</f>
        <v>0</v>
      </c>
    </row>
    <row r="189" spans="1:55" x14ac:dyDescent="0.2">
      <c r="A189" t="s">
        <v>262</v>
      </c>
      <c r="B189" t="s">
        <v>255</v>
      </c>
      <c r="C189" t="s">
        <v>84</v>
      </c>
      <c r="D189" t="s">
        <v>55</v>
      </c>
      <c r="E189" t="s">
        <v>56</v>
      </c>
      <c r="F189">
        <v>8</v>
      </c>
      <c r="G189">
        <v>29.155454969686971</v>
      </c>
      <c r="H189">
        <v>7.3398505058277053</v>
      </c>
      <c r="I189">
        <v>1.57</v>
      </c>
      <c r="J189">
        <v>1.5</v>
      </c>
      <c r="K189">
        <v>0.15</v>
      </c>
      <c r="L189">
        <v>0.4</v>
      </c>
      <c r="M189">
        <v>6</v>
      </c>
      <c r="N189">
        <v>250</v>
      </c>
      <c r="Q189">
        <v>0.1507964473723101</v>
      </c>
      <c r="R189">
        <v>595711.36772068124</v>
      </c>
      <c r="S189">
        <v>-2.2415734591589159E-3</v>
      </c>
      <c r="T189">
        <v>480.50831710260849</v>
      </c>
      <c r="U189">
        <v>969.45070075846206</v>
      </c>
      <c r="V189">
        <v>106.3071498014621</v>
      </c>
      <c r="W189">
        <v>9.1193367762092787</v>
      </c>
      <c r="X189" t="s">
        <v>57</v>
      </c>
      <c r="Z189">
        <v>323.98599999999999</v>
      </c>
      <c r="AA189">
        <v>95.091899999999995</v>
      </c>
      <c r="AB189">
        <v>44.910200000000003</v>
      </c>
      <c r="AC189">
        <v>12.001604143646411</v>
      </c>
      <c r="AD189">
        <v>44.954296110074587</v>
      </c>
      <c r="AE189">
        <v>44.954296110074587</v>
      </c>
      <c r="AF189" t="s">
        <v>58</v>
      </c>
      <c r="AG189" t="b">
        <v>1</v>
      </c>
      <c r="AH189">
        <v>3.7456906236882661</v>
      </c>
      <c r="AI189">
        <v>323.26900000000001</v>
      </c>
      <c r="AJ189">
        <v>91.381599999999992</v>
      </c>
      <c r="AK189">
        <v>32.289299999999997</v>
      </c>
      <c r="AL189">
        <v>11.708333523434259</v>
      </c>
      <c r="AN189">
        <v>91.381599999999992</v>
      </c>
      <c r="AO189" t="s">
        <v>62</v>
      </c>
      <c r="AP189" t="b">
        <v>0</v>
      </c>
      <c r="AQ189">
        <v>7.8048340369788303</v>
      </c>
      <c r="AR189">
        <v>323.98599999999999</v>
      </c>
      <c r="AS189">
        <v>91.381599999999992</v>
      </c>
      <c r="AT189">
        <v>7.8048340369788303</v>
      </c>
      <c r="AU189" s="5">
        <v>68.262055199999992</v>
      </c>
      <c r="AV189" s="5">
        <v>97.504167199999983</v>
      </c>
      <c r="AW189" s="5">
        <v>5.8302110256231865</v>
      </c>
      <c r="AX189" s="5">
        <v>8.3277579174564114</v>
      </c>
      <c r="AY189" t="s">
        <v>59</v>
      </c>
      <c r="AZ189" t="s">
        <v>60</v>
      </c>
      <c r="BA189" s="23">
        <f t="shared" si="2"/>
        <v>0</v>
      </c>
      <c r="BB189" s="23">
        <f>IF(AND(ISNUMBER(H189),Metadata!$H$5&gt;Metadata!$G$5),MAX(Metadata!$G$5-H189,0,H189-Metadata!$H$5)/(Metadata!$H$5-Metadata!$G$5),"Missing input")</f>
        <v>0</v>
      </c>
      <c r="BC189" s="23">
        <f>IF(AND(ISNUMBER(L189),Metadata!$H$8&gt;Metadata!$G$8),MAX(Metadata!$G$8-L189,0,L189-Metadata!$H$8)/(Metadata!$H$8-Metadata!$G$8),"Missing input")</f>
        <v>0</v>
      </c>
    </row>
    <row r="190" spans="1:55" x14ac:dyDescent="0.2">
      <c r="A190" t="s">
        <v>263</v>
      </c>
      <c r="B190" t="s">
        <v>255</v>
      </c>
      <c r="C190" t="s">
        <v>84</v>
      </c>
      <c r="D190" t="s">
        <v>55</v>
      </c>
      <c r="E190" t="s">
        <v>56</v>
      </c>
      <c r="F190">
        <v>9</v>
      </c>
      <c r="G190">
        <v>59.748609235827082</v>
      </c>
      <c r="H190">
        <v>37.783512331141722</v>
      </c>
      <c r="I190">
        <v>1.57</v>
      </c>
      <c r="J190">
        <v>1.5</v>
      </c>
      <c r="K190">
        <v>0.15</v>
      </c>
      <c r="L190">
        <v>0.4</v>
      </c>
      <c r="M190">
        <v>6</v>
      </c>
      <c r="N190">
        <v>250</v>
      </c>
      <c r="Q190">
        <v>0.1507964473723101</v>
      </c>
      <c r="R190">
        <v>6726258.2664913209</v>
      </c>
      <c r="S190">
        <v>-4.3245069361238786E-3</v>
      </c>
      <c r="T190">
        <v>2958.9793454838732</v>
      </c>
      <c r="U190">
        <v>1085.540251520539</v>
      </c>
      <c r="V190">
        <v>654.64144811590108</v>
      </c>
      <c r="W190">
        <v>1.6582210836860261</v>
      </c>
      <c r="X190" t="s">
        <v>57</v>
      </c>
      <c r="Z190">
        <v>1123.21</v>
      </c>
      <c r="AA190">
        <v>95.163399999999996</v>
      </c>
      <c r="AB190">
        <v>27.4831</v>
      </c>
      <c r="AC190">
        <v>13.31136023076923</v>
      </c>
      <c r="AD190">
        <v>28.043086077619179</v>
      </c>
      <c r="AE190">
        <v>28.043086077619179</v>
      </c>
      <c r="AF190" t="s">
        <v>58</v>
      </c>
      <c r="AG190" t="b">
        <v>1</v>
      </c>
      <c r="AH190">
        <v>2.1067032663421981</v>
      </c>
      <c r="AI190">
        <v>1128.83</v>
      </c>
      <c r="AJ190">
        <v>91.310100000000006</v>
      </c>
      <c r="AK190">
        <v>28.431100000000001</v>
      </c>
      <c r="AL190">
        <v>12.62464170886992</v>
      </c>
      <c r="AM190">
        <v>29.116997913798329</v>
      </c>
      <c r="AN190">
        <v>29.116997913798329</v>
      </c>
      <c r="AO190" t="s">
        <v>58</v>
      </c>
      <c r="AP190" t="b">
        <v>1</v>
      </c>
      <c r="AQ190">
        <v>2.3063623178581838</v>
      </c>
      <c r="AR190">
        <v>1128.83</v>
      </c>
      <c r="AS190">
        <v>29.116997913798329</v>
      </c>
      <c r="AT190">
        <v>2.3063623178581838</v>
      </c>
      <c r="AU190" s="5">
        <v>21.750397441607351</v>
      </c>
      <c r="AV190" s="5">
        <v>31.067836774022815</v>
      </c>
      <c r="AW190" s="5">
        <v>1.7228526514400633</v>
      </c>
      <c r="AX190" s="5">
        <v>2.460888593154682</v>
      </c>
      <c r="AY190" t="s">
        <v>59</v>
      </c>
      <c r="AZ190" t="s">
        <v>60</v>
      </c>
      <c r="BA190" s="23">
        <f t="shared" si="2"/>
        <v>0</v>
      </c>
      <c r="BB190" s="23">
        <f>IF(AND(ISNUMBER(H190),Metadata!$H$5&gt;Metadata!$G$5),MAX(Metadata!$G$5-H190,0,H190-Metadata!$H$5)/(Metadata!$H$5-Metadata!$G$5),"Missing input")</f>
        <v>0</v>
      </c>
      <c r="BC190" s="23">
        <f>IF(AND(ISNUMBER(L190),Metadata!$H$8&gt;Metadata!$G$8),MAX(Metadata!$G$8-L190,0,L190-Metadata!$H$8)/(Metadata!$H$8-Metadata!$G$8),"Missing input")</f>
        <v>0</v>
      </c>
    </row>
    <row r="191" spans="1:55" x14ac:dyDescent="0.2">
      <c r="A191" t="s">
        <v>264</v>
      </c>
      <c r="B191" t="s">
        <v>255</v>
      </c>
      <c r="C191" t="s">
        <v>84</v>
      </c>
      <c r="D191" t="s">
        <v>55</v>
      </c>
      <c r="E191" t="s">
        <v>56</v>
      </c>
      <c r="F191">
        <v>10</v>
      </c>
      <c r="G191">
        <v>34.746337553007109</v>
      </c>
      <c r="H191">
        <v>23.7414613202046</v>
      </c>
      <c r="I191">
        <v>1.57</v>
      </c>
      <c r="J191">
        <v>1.5</v>
      </c>
      <c r="K191">
        <v>0.15</v>
      </c>
      <c r="L191">
        <v>0.4</v>
      </c>
      <c r="M191">
        <v>6</v>
      </c>
      <c r="N191">
        <v>250</v>
      </c>
      <c r="Q191">
        <v>0.1507964473723101</v>
      </c>
      <c r="R191">
        <v>2428507.8121004719</v>
      </c>
      <c r="S191">
        <v>-3.823872188881763E-3</v>
      </c>
      <c r="T191">
        <v>1111.217336052197</v>
      </c>
      <c r="U191">
        <v>994.11314438804277</v>
      </c>
      <c r="V191">
        <v>245.84454337438001</v>
      </c>
      <c r="W191">
        <v>4.0436656870361176</v>
      </c>
      <c r="X191" t="s">
        <v>57</v>
      </c>
      <c r="Z191">
        <v>626.91999999999996</v>
      </c>
      <c r="AA191">
        <v>95.163399999999996</v>
      </c>
      <c r="AB191">
        <v>37.809100000000001</v>
      </c>
      <c r="AC191">
        <v>12.59113573236889</v>
      </c>
      <c r="AD191">
        <v>48.346016180561307</v>
      </c>
      <c r="AE191">
        <v>48.346016180561307</v>
      </c>
      <c r="AF191" t="s">
        <v>58</v>
      </c>
      <c r="AG191" t="b">
        <v>1</v>
      </c>
      <c r="AH191">
        <v>3.8396866818197259</v>
      </c>
      <c r="AI191">
        <v>626.82600000000002</v>
      </c>
      <c r="AJ191">
        <v>91.310100000000006</v>
      </c>
      <c r="AK191">
        <v>39.358900000000013</v>
      </c>
      <c r="AL191">
        <v>12.344577489925159</v>
      </c>
      <c r="AM191">
        <v>48.097050651864073</v>
      </c>
      <c r="AN191">
        <v>48.097050651864073</v>
      </c>
      <c r="AO191" t="s">
        <v>58</v>
      </c>
      <c r="AP191" t="b">
        <v>1</v>
      </c>
      <c r="AQ191">
        <v>3.896208735464437</v>
      </c>
      <c r="AR191">
        <v>626.91999999999996</v>
      </c>
      <c r="AS191">
        <v>48.346016180561307</v>
      </c>
      <c r="AT191">
        <v>3.896208735464437</v>
      </c>
      <c r="AU191" s="5">
        <v>36.114474086879298</v>
      </c>
      <c r="AV191" s="5">
        <v>51.585199264658911</v>
      </c>
      <c r="AW191" s="5">
        <v>2.9104679253919343</v>
      </c>
      <c r="AX191" s="5">
        <v>4.1572547207405544</v>
      </c>
      <c r="AY191" t="s">
        <v>59</v>
      </c>
      <c r="AZ191" t="s">
        <v>60</v>
      </c>
      <c r="BA191" s="23">
        <f t="shared" si="2"/>
        <v>0</v>
      </c>
      <c r="BB191" s="23">
        <f>IF(AND(ISNUMBER(H191),Metadata!$H$5&gt;Metadata!$G$5),MAX(Metadata!$G$5-H191,0,H191-Metadata!$H$5)/(Metadata!$H$5-Metadata!$G$5),"Missing input")</f>
        <v>0</v>
      </c>
      <c r="BC191" s="23">
        <f>IF(AND(ISNUMBER(L191),Metadata!$H$8&gt;Metadata!$G$8),MAX(Metadata!$G$8-L191,0,L191-Metadata!$H$8)/(Metadata!$H$8-Metadata!$G$8),"Missing input")</f>
        <v>0</v>
      </c>
    </row>
    <row r="192" spans="1:55" x14ac:dyDescent="0.2">
      <c r="A192" t="s">
        <v>265</v>
      </c>
      <c r="B192" t="s">
        <v>255</v>
      </c>
      <c r="C192" t="s">
        <v>84</v>
      </c>
      <c r="D192" t="s">
        <v>55</v>
      </c>
      <c r="E192" t="s">
        <v>56</v>
      </c>
      <c r="F192">
        <v>11</v>
      </c>
      <c r="G192">
        <v>24.502161634428251</v>
      </c>
      <c r="H192">
        <v>33.048591474592847</v>
      </c>
      <c r="I192">
        <v>1.57</v>
      </c>
      <c r="J192">
        <v>1.5</v>
      </c>
      <c r="K192">
        <v>0.15</v>
      </c>
      <c r="L192">
        <v>0.4</v>
      </c>
      <c r="M192">
        <v>6</v>
      </c>
      <c r="N192">
        <v>250</v>
      </c>
      <c r="Q192">
        <v>0.1507964473723101</v>
      </c>
      <c r="R192">
        <v>2383007.1153019848</v>
      </c>
      <c r="S192">
        <v>-4.2544576621396562E-3</v>
      </c>
      <c r="T192">
        <v>1134.971999997148</v>
      </c>
      <c r="U192">
        <v>947.05061538725488</v>
      </c>
      <c r="V192">
        <v>251.099999999369</v>
      </c>
      <c r="W192">
        <v>3.7716073890467339</v>
      </c>
      <c r="X192" t="s">
        <v>57</v>
      </c>
      <c r="Z192">
        <v>557.49599999999998</v>
      </c>
      <c r="AA192">
        <v>95.163399999999996</v>
      </c>
      <c r="AB192">
        <v>31.260899999999999</v>
      </c>
      <c r="AC192">
        <v>12.86446761523046</v>
      </c>
      <c r="AD192">
        <v>34.902825992287568</v>
      </c>
      <c r="AE192">
        <v>34.902825992287568</v>
      </c>
      <c r="AF192" t="s">
        <v>58</v>
      </c>
      <c r="AG192" t="b">
        <v>1</v>
      </c>
      <c r="AH192">
        <v>2.7131185709516301</v>
      </c>
      <c r="AI192">
        <v>559.15300000000002</v>
      </c>
      <c r="AJ192">
        <v>91.310100000000006</v>
      </c>
      <c r="AK192">
        <v>32.289299999999997</v>
      </c>
      <c r="AL192">
        <v>12.39119131701632</v>
      </c>
      <c r="AM192">
        <v>35.017162784417081</v>
      </c>
      <c r="AN192">
        <v>35.017162784417081</v>
      </c>
      <c r="AO192" t="s">
        <v>58</v>
      </c>
      <c r="AP192" t="b">
        <v>1</v>
      </c>
      <c r="AQ192">
        <v>2.8259722482316478</v>
      </c>
      <c r="AR192">
        <v>559.15300000000002</v>
      </c>
      <c r="AS192">
        <v>35.017162784417081</v>
      </c>
      <c r="AT192">
        <v>2.8259722482316478</v>
      </c>
      <c r="AU192" s="5">
        <v>26.15782059995956</v>
      </c>
      <c r="AV192" s="5">
        <v>37.363312690973025</v>
      </c>
      <c r="AW192" s="5">
        <v>2.1110012694290408</v>
      </c>
      <c r="AX192" s="5">
        <v>3.0153123888631681</v>
      </c>
      <c r="AY192" t="s">
        <v>59</v>
      </c>
      <c r="AZ192" t="s">
        <v>60</v>
      </c>
      <c r="BA192" s="23">
        <f t="shared" si="2"/>
        <v>0</v>
      </c>
      <c r="BB192" s="23">
        <f>IF(AND(ISNUMBER(H192),Metadata!$H$5&gt;Metadata!$G$5),MAX(Metadata!$G$5-H192,0,H192-Metadata!$H$5)/(Metadata!$H$5-Metadata!$G$5),"Missing input")</f>
        <v>0</v>
      </c>
      <c r="BC192" s="23">
        <f>IF(AND(ISNUMBER(L192),Metadata!$H$8&gt;Metadata!$G$8),MAX(Metadata!$G$8-L192,0,L192-Metadata!$H$8)/(Metadata!$H$8-Metadata!$G$8),"Missing input")</f>
        <v>0</v>
      </c>
    </row>
    <row r="193" spans="1:55" x14ac:dyDescent="0.2">
      <c r="A193" t="s">
        <v>266</v>
      </c>
      <c r="B193" t="s">
        <v>255</v>
      </c>
      <c r="C193" t="s">
        <v>84</v>
      </c>
      <c r="D193" t="s">
        <v>55</v>
      </c>
      <c r="E193" t="s">
        <v>56</v>
      </c>
      <c r="F193">
        <v>12</v>
      </c>
      <c r="G193">
        <v>56.241153781572699</v>
      </c>
      <c r="H193">
        <v>14.78764467513273</v>
      </c>
      <c r="I193">
        <v>1.57</v>
      </c>
      <c r="J193">
        <v>1.5</v>
      </c>
      <c r="K193">
        <v>0.15</v>
      </c>
      <c r="L193">
        <v>0.4</v>
      </c>
      <c r="M193">
        <v>6</v>
      </c>
      <c r="N193">
        <v>250</v>
      </c>
      <c r="Q193">
        <v>0.1507964473723101</v>
      </c>
      <c r="R193">
        <v>2448743.9197241841</v>
      </c>
      <c r="S193">
        <v>-3.033206065030923E-3</v>
      </c>
      <c r="T193">
        <v>1060.8343060705299</v>
      </c>
      <c r="U193">
        <v>1074.0659173862421</v>
      </c>
      <c r="V193">
        <v>234.69785532533859</v>
      </c>
      <c r="W193">
        <v>4.5763772144290362</v>
      </c>
      <c r="X193" t="s">
        <v>57</v>
      </c>
      <c r="Z193">
        <v>694.04</v>
      </c>
      <c r="AA193">
        <v>95.163399999999996</v>
      </c>
      <c r="AB193">
        <v>51.296399999999998</v>
      </c>
      <c r="AC193">
        <v>11.669395891297309</v>
      </c>
      <c r="AD193">
        <v>70.145241192262745</v>
      </c>
      <c r="AE193">
        <v>70.145241192262745</v>
      </c>
      <c r="AF193" t="s">
        <v>58</v>
      </c>
      <c r="AG193" t="b">
        <v>1</v>
      </c>
      <c r="AH193">
        <v>6.0110430604702492</v>
      </c>
      <c r="AI193">
        <v>693.04200000000003</v>
      </c>
      <c r="AJ193">
        <v>91.310100000000006</v>
      </c>
      <c r="AK193">
        <v>51.757599999999996</v>
      </c>
      <c r="AL193">
        <v>11.447152331860581</v>
      </c>
      <c r="AM193">
        <v>74.792059364072557</v>
      </c>
      <c r="AN193">
        <v>74.792059364072557</v>
      </c>
      <c r="AO193" t="s">
        <v>58</v>
      </c>
      <c r="AP193" t="b">
        <v>1</v>
      </c>
      <c r="AQ193">
        <v>6.5336825435532662</v>
      </c>
      <c r="AR193">
        <v>694.04</v>
      </c>
      <c r="AS193">
        <v>74.792059364072557</v>
      </c>
      <c r="AT193">
        <v>6.5336825435532662</v>
      </c>
      <c r="AU193" s="5">
        <v>55.8696683449622</v>
      </c>
      <c r="AV193" s="5">
        <v>79.803127341465412</v>
      </c>
      <c r="AW193" s="5">
        <v>4.8806608600342898</v>
      </c>
      <c r="AX193" s="5">
        <v>6.9714392739713347</v>
      </c>
      <c r="AY193" t="s">
        <v>59</v>
      </c>
      <c r="AZ193" t="s">
        <v>60</v>
      </c>
      <c r="BA193" s="23">
        <f t="shared" si="2"/>
        <v>0</v>
      </c>
      <c r="BB193" s="23">
        <f>IF(AND(ISNUMBER(H193),Metadata!$H$5&gt;Metadata!$G$5),MAX(Metadata!$G$5-H193,0,H193-Metadata!$H$5)/(Metadata!$H$5-Metadata!$G$5),"Missing input")</f>
        <v>0</v>
      </c>
      <c r="BC193" s="23">
        <f>IF(AND(ISNUMBER(L193),Metadata!$H$8&gt;Metadata!$G$8),MAX(Metadata!$G$8-L193,0,L193-Metadata!$H$8)/(Metadata!$H$8-Metadata!$G$8),"Missing input")</f>
        <v>0</v>
      </c>
    </row>
    <row r="194" spans="1:55" x14ac:dyDescent="0.2">
      <c r="A194" t="s">
        <v>267</v>
      </c>
      <c r="B194" t="s">
        <v>255</v>
      </c>
      <c r="C194" t="s">
        <v>84</v>
      </c>
      <c r="D194" t="s">
        <v>55</v>
      </c>
      <c r="E194" t="s">
        <v>56</v>
      </c>
      <c r="F194">
        <v>13</v>
      </c>
      <c r="G194">
        <v>49.119901382435643</v>
      </c>
      <c r="H194">
        <v>22.54933477691009</v>
      </c>
      <c r="I194">
        <v>1.57</v>
      </c>
      <c r="J194">
        <v>1.5</v>
      </c>
      <c r="K194">
        <v>0.15</v>
      </c>
      <c r="L194">
        <v>0.4</v>
      </c>
      <c r="M194">
        <v>6</v>
      </c>
      <c r="N194">
        <v>250</v>
      </c>
      <c r="Q194">
        <v>0.1507964473723101</v>
      </c>
      <c r="R194">
        <v>3276584.6264440492</v>
      </c>
      <c r="S194">
        <v>-3.7381859440241022E-3</v>
      </c>
      <c r="T194">
        <v>1412.968799359719</v>
      </c>
      <c r="U194">
        <v>1049.6113351906849</v>
      </c>
      <c r="V194">
        <v>312.60371667250428</v>
      </c>
      <c r="W194">
        <v>3.3576418935872669</v>
      </c>
      <c r="X194" t="s">
        <v>57</v>
      </c>
      <c r="Z194">
        <v>791.59</v>
      </c>
      <c r="AA194">
        <v>95.163399999999996</v>
      </c>
      <c r="AB194">
        <v>40.726599999999998</v>
      </c>
      <c r="AC194">
        <v>12.584609056122449</v>
      </c>
      <c r="AD194">
        <v>50.01882264167719</v>
      </c>
      <c r="AE194">
        <v>50.01882264167719</v>
      </c>
      <c r="AF194" t="s">
        <v>58</v>
      </c>
      <c r="AG194" t="b">
        <v>1</v>
      </c>
      <c r="AH194">
        <v>3.974602819889975</v>
      </c>
      <c r="AI194">
        <v>791.08699999999999</v>
      </c>
      <c r="AJ194">
        <v>91.310100000000006</v>
      </c>
      <c r="AK194">
        <v>39.358900000000013</v>
      </c>
      <c r="AL194">
        <v>12.406410386501641</v>
      </c>
      <c r="AM194">
        <v>49.783908516808751</v>
      </c>
      <c r="AN194">
        <v>49.783908516808751</v>
      </c>
      <c r="AO194" t="s">
        <v>58</v>
      </c>
      <c r="AP194" t="b">
        <v>1</v>
      </c>
      <c r="AQ194">
        <v>4.0127568705106196</v>
      </c>
      <c r="AR194">
        <v>791.59</v>
      </c>
      <c r="AS194">
        <v>50.01882264167719</v>
      </c>
      <c r="AT194">
        <v>4.0127568705106196</v>
      </c>
      <c r="AU194" s="5">
        <v>37.364060513332859</v>
      </c>
      <c r="AV194" s="5">
        <v>53.370083758669558</v>
      </c>
      <c r="AW194" s="5">
        <v>2.9975293822714328</v>
      </c>
      <c r="AX194" s="5">
        <v>4.2816115808348307</v>
      </c>
      <c r="AY194" t="s">
        <v>59</v>
      </c>
      <c r="AZ194" t="s">
        <v>60</v>
      </c>
      <c r="BA194" s="23">
        <f t="shared" ref="BA194:BA257" si="3">IF(COUNT(BB194:BC194)=2,MAX(BB194:BC194),"Missing input")</f>
        <v>0</v>
      </c>
      <c r="BB194" s="23">
        <f>IF(AND(ISNUMBER(H194),Metadata!$H$5&gt;Metadata!$G$5),MAX(Metadata!$G$5-H194,0,H194-Metadata!$H$5)/(Metadata!$H$5-Metadata!$G$5),"Missing input")</f>
        <v>0</v>
      </c>
      <c r="BC194" s="23">
        <f>IF(AND(ISNUMBER(L194),Metadata!$H$8&gt;Metadata!$G$8),MAX(Metadata!$G$8-L194,0,L194-Metadata!$H$8)/(Metadata!$H$8-Metadata!$G$8),"Missing input")</f>
        <v>0</v>
      </c>
    </row>
    <row r="195" spans="1:55" x14ac:dyDescent="0.2">
      <c r="A195" t="s">
        <v>268</v>
      </c>
      <c r="B195" t="s">
        <v>255</v>
      </c>
      <c r="C195" t="s">
        <v>84</v>
      </c>
      <c r="D195" t="s">
        <v>55</v>
      </c>
      <c r="E195" t="s">
        <v>56</v>
      </c>
      <c r="F195">
        <v>14</v>
      </c>
      <c r="G195">
        <v>37.958866376576751</v>
      </c>
      <c r="H195">
        <v>9.8264864335603903</v>
      </c>
      <c r="I195">
        <v>1.57</v>
      </c>
      <c r="J195">
        <v>1.5</v>
      </c>
      <c r="K195">
        <v>0.15</v>
      </c>
      <c r="L195">
        <v>0.4</v>
      </c>
      <c r="M195">
        <v>6</v>
      </c>
      <c r="N195">
        <v>250</v>
      </c>
      <c r="Q195">
        <v>0.1507964473723101</v>
      </c>
      <c r="R195">
        <v>1072728.181448289</v>
      </c>
      <c r="S195">
        <v>-2.504852981249403E-3</v>
      </c>
      <c r="T195">
        <v>610.81355109044614</v>
      </c>
      <c r="U195">
        <v>1007.389101825231</v>
      </c>
      <c r="V195">
        <v>135.13574139169171</v>
      </c>
      <c r="W195">
        <v>7.4546459097398081</v>
      </c>
      <c r="X195" t="s">
        <v>57</v>
      </c>
      <c r="Z195">
        <v>425.72300000000001</v>
      </c>
      <c r="AA195">
        <v>95.163399999999996</v>
      </c>
      <c r="AB195">
        <v>65.006200000000007</v>
      </c>
      <c r="AC195">
        <v>11.50731496420048</v>
      </c>
      <c r="AE195">
        <v>95.163399999999996</v>
      </c>
      <c r="AF195" t="s">
        <v>62</v>
      </c>
      <c r="AG195" t="b">
        <v>0</v>
      </c>
      <c r="AH195">
        <v>8.2698179632742743</v>
      </c>
      <c r="AI195">
        <v>425.46899999999999</v>
      </c>
      <c r="AJ195">
        <v>91.310100000000006</v>
      </c>
      <c r="AK195">
        <v>64.381599999999992</v>
      </c>
      <c r="AL195">
        <v>11.13541117139061</v>
      </c>
      <c r="AN195">
        <v>91.310100000000006</v>
      </c>
      <c r="AO195" t="s">
        <v>62</v>
      </c>
      <c r="AP195" t="b">
        <v>0</v>
      </c>
      <c r="AQ195">
        <v>8.1999756088572919</v>
      </c>
      <c r="AR195">
        <v>425.72300000000001</v>
      </c>
      <c r="AS195">
        <v>95.163399999999996</v>
      </c>
      <c r="AT195">
        <v>8.2698179632742743</v>
      </c>
      <c r="AU195" s="5">
        <v>71.087059799999992</v>
      </c>
      <c r="AV195" s="5">
        <v>101.53934779999999</v>
      </c>
      <c r="AW195" s="5">
        <v>6.1775540185658828</v>
      </c>
      <c r="AX195" s="5">
        <v>8.8238957668136511</v>
      </c>
      <c r="AY195" t="s">
        <v>59</v>
      </c>
      <c r="AZ195" t="s">
        <v>60</v>
      </c>
      <c r="BA195" s="23">
        <f t="shared" si="3"/>
        <v>0</v>
      </c>
      <c r="BB195" s="23">
        <f>IF(AND(ISNUMBER(H195),Metadata!$H$5&gt;Metadata!$G$5),MAX(Metadata!$G$5-H195,0,H195-Metadata!$H$5)/(Metadata!$H$5-Metadata!$G$5),"Missing input")</f>
        <v>0</v>
      </c>
      <c r="BC195" s="23">
        <f>IF(AND(ISNUMBER(L195),Metadata!$H$8&gt;Metadata!$G$8),MAX(Metadata!$G$8-L195,0,L195-Metadata!$H$8)/(Metadata!$H$8-Metadata!$G$8),"Missing input")</f>
        <v>0</v>
      </c>
    </row>
    <row r="196" spans="1:55" x14ac:dyDescent="0.2">
      <c r="A196" t="s">
        <v>269</v>
      </c>
      <c r="B196" t="s">
        <v>255</v>
      </c>
      <c r="C196" t="s">
        <v>84</v>
      </c>
      <c r="D196" t="s">
        <v>55</v>
      </c>
      <c r="E196" t="s">
        <v>56</v>
      </c>
      <c r="F196">
        <v>15</v>
      </c>
      <c r="G196">
        <v>27.308053040943211</v>
      </c>
      <c r="H196">
        <v>5.2772178758296739</v>
      </c>
      <c r="I196">
        <v>1.57</v>
      </c>
      <c r="J196">
        <v>1.5</v>
      </c>
      <c r="K196">
        <v>0.15</v>
      </c>
      <c r="L196">
        <v>0.4</v>
      </c>
      <c r="M196">
        <v>6</v>
      </c>
      <c r="N196">
        <v>250</v>
      </c>
      <c r="Q196">
        <v>0.1507964473723101</v>
      </c>
      <c r="R196">
        <v>386052.96198531118</v>
      </c>
      <c r="S196">
        <v>-2.032111931804807E-3</v>
      </c>
      <c r="T196">
        <v>428.52672237905682</v>
      </c>
      <c r="U196">
        <v>960.78844299831962</v>
      </c>
      <c r="V196">
        <v>94.806796986516986</v>
      </c>
      <c r="W196">
        <v>10.134172586116989</v>
      </c>
      <c r="X196" t="s">
        <v>57</v>
      </c>
      <c r="Z196">
        <v>282.46600000000001</v>
      </c>
      <c r="AA196">
        <v>95.163399999999996</v>
      </c>
      <c r="AB196">
        <v>77.850200000000001</v>
      </c>
      <c r="AC196">
        <v>12.45549200217628</v>
      </c>
      <c r="AE196">
        <v>95.163399999999996</v>
      </c>
      <c r="AF196" t="s">
        <v>62</v>
      </c>
      <c r="AG196" t="b">
        <v>0</v>
      </c>
      <c r="AH196">
        <v>7.6402762719748534</v>
      </c>
      <c r="AI196">
        <v>282.72899999999998</v>
      </c>
      <c r="AJ196">
        <v>91.310100000000006</v>
      </c>
      <c r="AK196">
        <v>78.431799999999996</v>
      </c>
      <c r="AL196">
        <v>12.100951541241489</v>
      </c>
      <c r="AN196">
        <v>91.310100000000006</v>
      </c>
      <c r="AO196" t="s">
        <v>62</v>
      </c>
      <c r="AP196" t="b">
        <v>0</v>
      </c>
      <c r="AQ196">
        <v>7.5456958643958068</v>
      </c>
      <c r="AR196">
        <v>282.72899999999998</v>
      </c>
      <c r="AS196">
        <v>95.163399999999996</v>
      </c>
      <c r="AT196">
        <v>7.6402762719748534</v>
      </c>
      <c r="AU196" s="5">
        <v>71.087059799999992</v>
      </c>
      <c r="AV196" s="5">
        <v>101.53934779999999</v>
      </c>
      <c r="AW196" s="5">
        <v>5.7072863751652152</v>
      </c>
      <c r="AX196" s="5">
        <v>8.152174782197168</v>
      </c>
      <c r="AY196" t="s">
        <v>59</v>
      </c>
      <c r="AZ196" t="s">
        <v>60</v>
      </c>
      <c r="BA196" s="23">
        <f t="shared" si="3"/>
        <v>0</v>
      </c>
      <c r="BB196" s="23">
        <f>IF(AND(ISNUMBER(H196),Metadata!$H$5&gt;Metadata!$G$5),MAX(Metadata!$G$5-H196,0,H196-Metadata!$H$5)/(Metadata!$H$5-Metadata!$G$5),"Missing input")</f>
        <v>0</v>
      </c>
      <c r="BC196" s="23">
        <f>IF(AND(ISNUMBER(L196),Metadata!$H$8&gt;Metadata!$G$8),MAX(Metadata!$G$8-L196,0,L196-Metadata!$H$8)/(Metadata!$H$8-Metadata!$G$8),"Missing input")</f>
        <v>0</v>
      </c>
    </row>
    <row r="197" spans="1:55" x14ac:dyDescent="0.2">
      <c r="A197" t="s">
        <v>270</v>
      </c>
      <c r="B197" t="s">
        <v>255</v>
      </c>
      <c r="C197" t="s">
        <v>84</v>
      </c>
      <c r="D197" t="s">
        <v>55</v>
      </c>
      <c r="E197" t="s">
        <v>56</v>
      </c>
      <c r="F197">
        <v>16</v>
      </c>
      <c r="G197">
        <v>31.1252119640606</v>
      </c>
      <c r="H197">
        <v>39.5069074866867</v>
      </c>
      <c r="I197">
        <v>1.57</v>
      </c>
      <c r="J197">
        <v>1.5</v>
      </c>
      <c r="K197">
        <v>0.15</v>
      </c>
      <c r="L197">
        <v>0.4</v>
      </c>
      <c r="M197">
        <v>6</v>
      </c>
      <c r="N197">
        <v>250</v>
      </c>
      <c r="Q197">
        <v>0.1507964473723101</v>
      </c>
      <c r="R197">
        <v>3642703.933702969</v>
      </c>
      <c r="S197">
        <v>-4.3285251604010854E-3</v>
      </c>
      <c r="T197">
        <v>1657.5346780090949</v>
      </c>
      <c r="U197">
        <v>978.38945744533305</v>
      </c>
      <c r="V197">
        <v>366.71121194891492</v>
      </c>
      <c r="W197">
        <v>2.668010754963305</v>
      </c>
      <c r="X197" t="s">
        <v>57</v>
      </c>
      <c r="Z197">
        <v>680.46400000000006</v>
      </c>
      <c r="AA197">
        <v>94.920299999999997</v>
      </c>
      <c r="AB197">
        <v>25.7987</v>
      </c>
      <c r="AC197">
        <v>12.162841339491919</v>
      </c>
      <c r="AD197">
        <v>25.804687506149069</v>
      </c>
      <c r="AE197">
        <v>25.804687506149069</v>
      </c>
      <c r="AF197" t="s">
        <v>58</v>
      </c>
      <c r="AG197" t="b">
        <v>1</v>
      </c>
      <c r="AH197">
        <v>2.1216002729858028</v>
      </c>
      <c r="AI197">
        <v>685.74599999999998</v>
      </c>
      <c r="AJ197">
        <v>90.947700000000012</v>
      </c>
      <c r="AK197">
        <v>27.145</v>
      </c>
      <c r="AL197">
        <v>11.528318001942219</v>
      </c>
      <c r="AM197">
        <v>28.51055300952163</v>
      </c>
      <c r="AN197">
        <v>28.51055300952163</v>
      </c>
      <c r="AO197" t="s">
        <v>58</v>
      </c>
      <c r="AP197" t="b">
        <v>1</v>
      </c>
      <c r="AQ197">
        <v>2.4730887025078898</v>
      </c>
      <c r="AR197">
        <v>685.74599999999998</v>
      </c>
      <c r="AS197">
        <v>28.51055300952163</v>
      </c>
      <c r="AT197">
        <v>2.4730887025078898</v>
      </c>
      <c r="AU197" s="5">
        <v>21.297383098112658</v>
      </c>
      <c r="AV197" s="5">
        <v>30.420760061159577</v>
      </c>
      <c r="AW197" s="5">
        <v>1.8473972607733937</v>
      </c>
      <c r="AX197" s="5">
        <v>2.6387856455759184</v>
      </c>
      <c r="AY197" t="s">
        <v>59</v>
      </c>
      <c r="AZ197" t="s">
        <v>60</v>
      </c>
      <c r="BA197" s="23">
        <f t="shared" si="3"/>
        <v>0</v>
      </c>
      <c r="BB197" s="23">
        <f>IF(AND(ISNUMBER(H197),Metadata!$H$5&gt;Metadata!$G$5),MAX(Metadata!$G$5-H197,0,H197-Metadata!$H$5)/(Metadata!$H$5-Metadata!$G$5),"Missing input")</f>
        <v>0</v>
      </c>
      <c r="BC197" s="23">
        <f>IF(AND(ISNUMBER(L197),Metadata!$H$8&gt;Metadata!$G$8),MAX(Metadata!$G$8-L197,0,L197-Metadata!$H$8)/(Metadata!$H$8-Metadata!$G$8),"Missing input")</f>
        <v>0</v>
      </c>
    </row>
    <row r="198" spans="1:55" x14ac:dyDescent="0.2">
      <c r="A198" t="s">
        <v>271</v>
      </c>
      <c r="B198" t="s">
        <v>255</v>
      </c>
      <c r="C198" t="s">
        <v>84</v>
      </c>
      <c r="D198" t="s">
        <v>55</v>
      </c>
      <c r="E198" t="s">
        <v>56</v>
      </c>
      <c r="F198">
        <v>17</v>
      </c>
      <c r="G198">
        <v>46.390186033042063</v>
      </c>
      <c r="H198">
        <v>16.21387510983789</v>
      </c>
      <c r="I198">
        <v>1.57</v>
      </c>
      <c r="J198">
        <v>1.5</v>
      </c>
      <c r="K198">
        <v>0.15</v>
      </c>
      <c r="L198">
        <v>0.4</v>
      </c>
      <c r="M198">
        <v>6</v>
      </c>
      <c r="N198">
        <v>250</v>
      </c>
      <c r="Q198">
        <v>0.1507964473723101</v>
      </c>
      <c r="R198">
        <v>2210215.3729856689</v>
      </c>
      <c r="S198">
        <v>-3.1783531358384031E-3</v>
      </c>
      <c r="T198">
        <v>992.19235058261199</v>
      </c>
      <c r="U198">
        <v>1039.770485492922</v>
      </c>
      <c r="V198">
        <v>219.5115819873036</v>
      </c>
      <c r="W198">
        <v>4.7367454422202746</v>
      </c>
      <c r="X198" t="s">
        <v>57</v>
      </c>
      <c r="Z198">
        <v>635.27099999999996</v>
      </c>
      <c r="AA198">
        <v>95.163399999999996</v>
      </c>
      <c r="AB198">
        <v>50.272200000000012</v>
      </c>
      <c r="AC198">
        <v>11.86544455716302</v>
      </c>
      <c r="AD198">
        <v>67.607206543487948</v>
      </c>
      <c r="AE198">
        <v>67.607206543487948</v>
      </c>
      <c r="AF198" t="s">
        <v>58</v>
      </c>
      <c r="AG198" t="b">
        <v>1</v>
      </c>
      <c r="AH198">
        <v>5.697823306811908</v>
      </c>
      <c r="AI198">
        <v>633.97199999999998</v>
      </c>
      <c r="AJ198">
        <v>91.310100000000006</v>
      </c>
      <c r="AK198">
        <v>50.04</v>
      </c>
      <c r="AL198">
        <v>11.575480398492189</v>
      </c>
      <c r="AM198">
        <v>67.603627824301938</v>
      </c>
      <c r="AN198">
        <v>67.603627824301938</v>
      </c>
      <c r="AO198" t="s">
        <v>58</v>
      </c>
      <c r="AP198" t="b">
        <v>1</v>
      </c>
      <c r="AQ198">
        <v>5.8402438168447777</v>
      </c>
      <c r="AR198">
        <v>635.27099999999996</v>
      </c>
      <c r="AS198">
        <v>67.607206543487948</v>
      </c>
      <c r="AT198">
        <v>5.8402438168447777</v>
      </c>
      <c r="AU198" s="5">
        <v>50.502583287985495</v>
      </c>
      <c r="AV198" s="5">
        <v>72.136889381901639</v>
      </c>
      <c r="AW198" s="5">
        <v>4.3626621311830487</v>
      </c>
      <c r="AX198" s="5">
        <v>6.2315401525733778</v>
      </c>
      <c r="AY198" t="s">
        <v>59</v>
      </c>
      <c r="AZ198" t="s">
        <v>60</v>
      </c>
      <c r="BA198" s="23">
        <f t="shared" si="3"/>
        <v>0</v>
      </c>
      <c r="BB198" s="23">
        <f>IF(AND(ISNUMBER(H198),Metadata!$H$5&gt;Metadata!$G$5),MAX(Metadata!$G$5-H198,0,H198-Metadata!$H$5)/(Metadata!$H$5-Metadata!$G$5),"Missing input")</f>
        <v>0</v>
      </c>
      <c r="BC198" s="23">
        <f>IF(AND(ISNUMBER(L198),Metadata!$H$8&gt;Metadata!$G$8),MAX(Metadata!$G$8-L198,0,L198-Metadata!$H$8)/(Metadata!$H$8-Metadata!$G$8),"Missing input")</f>
        <v>0</v>
      </c>
    </row>
    <row r="199" spans="1:55" x14ac:dyDescent="0.2">
      <c r="A199" t="s">
        <v>272</v>
      </c>
      <c r="B199" t="s">
        <v>255</v>
      </c>
      <c r="C199" t="s">
        <v>84</v>
      </c>
      <c r="D199" t="s">
        <v>55</v>
      </c>
      <c r="E199" t="s">
        <v>56</v>
      </c>
      <c r="F199">
        <v>18</v>
      </c>
      <c r="G199">
        <v>54.165408264435399</v>
      </c>
      <c r="H199">
        <v>18.25275816413232</v>
      </c>
      <c r="I199">
        <v>1.57</v>
      </c>
      <c r="J199">
        <v>1.5</v>
      </c>
      <c r="K199">
        <v>0.15</v>
      </c>
      <c r="L199">
        <v>0.4</v>
      </c>
      <c r="M199">
        <v>6</v>
      </c>
      <c r="N199">
        <v>250</v>
      </c>
      <c r="Q199">
        <v>0.1507964473723101</v>
      </c>
      <c r="R199">
        <v>2919725.6187367002</v>
      </c>
      <c r="S199">
        <v>-3.375578362170614E-3</v>
      </c>
      <c r="T199">
        <v>1250.244632367107</v>
      </c>
      <c r="U199">
        <v>1067.1062039509341</v>
      </c>
      <c r="V199">
        <v>276.6027947714839</v>
      </c>
      <c r="W199">
        <v>3.8579010195198</v>
      </c>
      <c r="X199" t="s">
        <v>57</v>
      </c>
      <c r="Z199">
        <v>761.81100000000004</v>
      </c>
      <c r="AA199">
        <v>95.136200000000002</v>
      </c>
      <c r="AB199">
        <v>44.910200000000003</v>
      </c>
      <c r="AC199">
        <v>12.110140303430081</v>
      </c>
      <c r="AD199">
        <v>61.210549047630913</v>
      </c>
      <c r="AE199">
        <v>61.210549047630913</v>
      </c>
      <c r="AF199" t="s">
        <v>58</v>
      </c>
      <c r="AG199" t="b">
        <v>1</v>
      </c>
      <c r="AH199">
        <v>5.0544871912254896</v>
      </c>
      <c r="AI199">
        <v>760.23599999999999</v>
      </c>
      <c r="AJ199">
        <v>91.337299999999999</v>
      </c>
      <c r="AK199">
        <v>46.261299999999999</v>
      </c>
      <c r="AL199">
        <v>11.94312166430929</v>
      </c>
      <c r="AM199">
        <v>62.315448138001578</v>
      </c>
      <c r="AN199">
        <v>62.315448138001578</v>
      </c>
      <c r="AO199" t="s">
        <v>58</v>
      </c>
      <c r="AP199" t="b">
        <v>1</v>
      </c>
      <c r="AQ199">
        <v>5.2176851152931372</v>
      </c>
      <c r="AR199">
        <v>761.81100000000004</v>
      </c>
      <c r="AS199">
        <v>62.315448138001578</v>
      </c>
      <c r="AT199">
        <v>5.2176851152931372</v>
      </c>
      <c r="AU199" s="5">
        <v>46.549639759087178</v>
      </c>
      <c r="AV199" s="5">
        <v>66.490583163247678</v>
      </c>
      <c r="AW199" s="5">
        <v>3.8976107811239733</v>
      </c>
      <c r="AX199" s="5">
        <v>5.5672700180177772</v>
      </c>
      <c r="AY199" t="s">
        <v>59</v>
      </c>
      <c r="AZ199" t="s">
        <v>60</v>
      </c>
      <c r="BA199" s="23">
        <f t="shared" si="3"/>
        <v>0</v>
      </c>
      <c r="BB199" s="23">
        <f>IF(AND(ISNUMBER(H199),Metadata!$H$5&gt;Metadata!$G$5),MAX(Metadata!$G$5-H199,0,H199-Metadata!$H$5)/(Metadata!$H$5-Metadata!$G$5),"Missing input")</f>
        <v>0</v>
      </c>
      <c r="BC199" s="23">
        <f>IF(AND(ISNUMBER(L199),Metadata!$H$8&gt;Metadata!$G$8),MAX(Metadata!$G$8-L199,0,L199-Metadata!$H$8)/(Metadata!$H$8-Metadata!$G$8),"Missing input")</f>
        <v>0</v>
      </c>
    </row>
    <row r="200" spans="1:55" x14ac:dyDescent="0.2">
      <c r="A200" t="s">
        <v>273</v>
      </c>
      <c r="B200" t="s">
        <v>255</v>
      </c>
      <c r="C200" t="s">
        <v>84</v>
      </c>
      <c r="D200" t="s">
        <v>55</v>
      </c>
      <c r="E200" t="s">
        <v>56</v>
      </c>
      <c r="F200">
        <v>19</v>
      </c>
      <c r="G200">
        <v>21.707483118551171</v>
      </c>
      <c r="H200">
        <v>43.497365085878002</v>
      </c>
      <c r="I200">
        <v>1.57</v>
      </c>
      <c r="J200">
        <v>1.5</v>
      </c>
      <c r="K200">
        <v>0.15</v>
      </c>
      <c r="L200">
        <v>0.4</v>
      </c>
      <c r="M200">
        <v>6</v>
      </c>
      <c r="N200">
        <v>250</v>
      </c>
      <c r="Q200">
        <v>0.1507964473723101</v>
      </c>
      <c r="R200">
        <v>2786376.2799094608</v>
      </c>
      <c r="S200">
        <v>-4.298178123266428E-3</v>
      </c>
      <c r="T200">
        <v>1327.844178866673</v>
      </c>
      <c r="U200">
        <v>932.5608993046402</v>
      </c>
      <c r="V200">
        <v>293.77083603244972</v>
      </c>
      <c r="W200">
        <v>3.174450234405263</v>
      </c>
      <c r="X200" t="s">
        <v>57</v>
      </c>
      <c r="Z200">
        <v>541.41</v>
      </c>
      <c r="AA200">
        <v>95.163399999999996</v>
      </c>
      <c r="AB200">
        <v>25.7987</v>
      </c>
      <c r="AC200">
        <v>12.220351809210531</v>
      </c>
      <c r="AD200">
        <v>25.87181391267757</v>
      </c>
      <c r="AE200">
        <v>25.87181391267757</v>
      </c>
      <c r="AF200" t="s">
        <v>58</v>
      </c>
      <c r="AG200" t="b">
        <v>1</v>
      </c>
      <c r="AH200">
        <v>2.117108763855545</v>
      </c>
      <c r="AI200">
        <v>540.94200000000001</v>
      </c>
      <c r="AJ200">
        <v>91.310100000000006</v>
      </c>
      <c r="AK200">
        <v>25.858899999999998</v>
      </c>
      <c r="AL200">
        <v>11.18938728095794</v>
      </c>
      <c r="AM200">
        <v>27.032950045421082</v>
      </c>
      <c r="AN200">
        <v>27.032950045421082</v>
      </c>
      <c r="AO200" t="s">
        <v>58</v>
      </c>
      <c r="AP200" t="b">
        <v>1</v>
      </c>
      <c r="AQ200">
        <v>2.415945517537466</v>
      </c>
      <c r="AR200">
        <v>541.41</v>
      </c>
      <c r="AS200">
        <v>27.032950045421082</v>
      </c>
      <c r="AT200">
        <v>2.415945517537466</v>
      </c>
      <c r="AU200" s="5">
        <v>20.193613683929549</v>
      </c>
      <c r="AV200" s="5">
        <v>28.844157698464294</v>
      </c>
      <c r="AW200" s="5">
        <v>1.8047113016004872</v>
      </c>
      <c r="AX200" s="5">
        <v>2.577813867212476</v>
      </c>
      <c r="AY200" t="s">
        <v>64</v>
      </c>
      <c r="AZ200" t="s">
        <v>7</v>
      </c>
      <c r="BA200" s="23">
        <f t="shared" si="3"/>
        <v>9.4596678167087334E-2</v>
      </c>
      <c r="BB200" s="23">
        <f>IF(AND(ISNUMBER(H200),Metadata!$H$5&gt;Metadata!$G$5),MAX(Metadata!$G$5-H200,0,H200-Metadata!$H$5)/(Metadata!$H$5-Metadata!$G$5),"Missing input")</f>
        <v>9.4596678167087334E-2</v>
      </c>
      <c r="BC200" s="23">
        <f>IF(AND(ISNUMBER(L200),Metadata!$H$8&gt;Metadata!$G$8),MAX(Metadata!$G$8-L200,0,L200-Metadata!$H$8)/(Metadata!$H$8-Metadata!$G$8),"Missing input")</f>
        <v>0</v>
      </c>
    </row>
    <row r="201" spans="1:55" x14ac:dyDescent="0.2">
      <c r="A201" t="s">
        <v>274</v>
      </c>
      <c r="B201" t="s">
        <v>255</v>
      </c>
      <c r="C201" t="s">
        <v>84</v>
      </c>
      <c r="D201" t="s">
        <v>55</v>
      </c>
      <c r="E201" t="s">
        <v>56</v>
      </c>
      <c r="F201">
        <v>20</v>
      </c>
      <c r="G201">
        <v>53.035991243371583</v>
      </c>
      <c r="H201">
        <v>30.34654288470276</v>
      </c>
      <c r="I201">
        <v>1.57</v>
      </c>
      <c r="J201">
        <v>1.5</v>
      </c>
      <c r="K201">
        <v>0.15</v>
      </c>
      <c r="L201">
        <v>0.4</v>
      </c>
      <c r="M201">
        <v>6</v>
      </c>
      <c r="N201">
        <v>250</v>
      </c>
      <c r="Q201">
        <v>0.1507964473723101</v>
      </c>
      <c r="R201">
        <v>4782098.2730990862</v>
      </c>
      <c r="S201">
        <v>-4.1719019083240596E-3</v>
      </c>
      <c r="T201">
        <v>2064.392118408005</v>
      </c>
      <c r="U201">
        <v>1063.2633345267759</v>
      </c>
      <c r="V201">
        <v>456.72392000177121</v>
      </c>
      <c r="W201">
        <v>2.32802200183133</v>
      </c>
      <c r="X201" t="s">
        <v>57</v>
      </c>
      <c r="Z201">
        <v>963.303</v>
      </c>
      <c r="AA201">
        <v>95.163399999999996</v>
      </c>
      <c r="AB201">
        <v>33.275799999999997</v>
      </c>
      <c r="AC201">
        <v>13.29030431772123</v>
      </c>
      <c r="AD201">
        <v>36.362600945059597</v>
      </c>
      <c r="AE201">
        <v>36.362600945059597</v>
      </c>
      <c r="AF201" t="s">
        <v>58</v>
      </c>
      <c r="AG201" t="b">
        <v>1</v>
      </c>
      <c r="AH201">
        <v>2.736024704609199</v>
      </c>
      <c r="AI201">
        <v>960.80899999999997</v>
      </c>
      <c r="AJ201">
        <v>91.310100000000006</v>
      </c>
      <c r="AK201">
        <v>32.289299999999997</v>
      </c>
      <c r="AL201">
        <v>12.85908448055504</v>
      </c>
      <c r="AM201">
        <v>36.023334103377302</v>
      </c>
      <c r="AN201">
        <v>36.023334103377302</v>
      </c>
      <c r="AO201" t="s">
        <v>58</v>
      </c>
      <c r="AP201" t="b">
        <v>1</v>
      </c>
      <c r="AQ201">
        <v>2.8013918220889091</v>
      </c>
      <c r="AR201">
        <v>963.303</v>
      </c>
      <c r="AS201">
        <v>36.362600945059597</v>
      </c>
      <c r="AT201">
        <v>2.8013918220889091</v>
      </c>
      <c r="AU201" s="5">
        <v>27.162862905959518</v>
      </c>
      <c r="AV201" s="5">
        <v>38.798895208378589</v>
      </c>
      <c r="AW201" s="5">
        <v>2.0926396911004153</v>
      </c>
      <c r="AX201" s="5">
        <v>2.9890850741688659</v>
      </c>
      <c r="AY201" t="s">
        <v>59</v>
      </c>
      <c r="AZ201" t="s">
        <v>60</v>
      </c>
      <c r="BA201" s="23">
        <f t="shared" si="3"/>
        <v>0</v>
      </c>
      <c r="BB201" s="23">
        <f>IF(AND(ISNUMBER(H201),Metadata!$H$5&gt;Metadata!$G$5),MAX(Metadata!$G$5-H201,0,H201-Metadata!$H$5)/(Metadata!$H$5-Metadata!$G$5),"Missing input")</f>
        <v>0</v>
      </c>
      <c r="BC201" s="23">
        <f>IF(AND(ISNUMBER(L201),Metadata!$H$8&gt;Metadata!$G$8),MAX(Metadata!$G$8-L201,0,L201-Metadata!$H$8)/(Metadata!$H$8-Metadata!$G$8),"Missing input")</f>
        <v>0</v>
      </c>
    </row>
    <row r="202" spans="1:55" x14ac:dyDescent="0.2">
      <c r="A202" t="s">
        <v>275</v>
      </c>
      <c r="B202" t="s">
        <v>276</v>
      </c>
      <c r="C202" t="s">
        <v>84</v>
      </c>
      <c r="D202" t="s">
        <v>55</v>
      </c>
      <c r="E202" t="s">
        <v>56</v>
      </c>
      <c r="F202">
        <v>1</v>
      </c>
      <c r="G202">
        <v>22.11413992487228</v>
      </c>
      <c r="H202">
        <v>28.832065765515338</v>
      </c>
      <c r="I202">
        <v>1.57</v>
      </c>
      <c r="J202">
        <v>1.5</v>
      </c>
      <c r="K202">
        <v>0.2</v>
      </c>
      <c r="L202">
        <v>0.5</v>
      </c>
      <c r="M202">
        <v>6</v>
      </c>
      <c r="N202">
        <v>190</v>
      </c>
      <c r="Q202">
        <v>0.1984163781214606</v>
      </c>
      <c r="R202">
        <v>1866510.334985178</v>
      </c>
      <c r="S202">
        <v>-4.3082469475890237E-3</v>
      </c>
      <c r="T202">
        <v>931.93139645531812</v>
      </c>
      <c r="U202">
        <v>1109.834900194649</v>
      </c>
      <c r="V202">
        <v>206.1795124901146</v>
      </c>
      <c r="W202">
        <v>5.3828573304433487</v>
      </c>
      <c r="X202" t="s">
        <v>57</v>
      </c>
      <c r="Z202">
        <v>503.36700000000002</v>
      </c>
      <c r="AA202">
        <v>95.163399999999996</v>
      </c>
      <c r="AB202">
        <v>36.046199999999999</v>
      </c>
      <c r="AC202">
        <v>13.439995947197779</v>
      </c>
      <c r="AD202">
        <v>40.93796796030518</v>
      </c>
      <c r="AE202">
        <v>40.93796796030518</v>
      </c>
      <c r="AF202" t="s">
        <v>58</v>
      </c>
      <c r="AG202" t="b">
        <v>1</v>
      </c>
      <c r="AH202">
        <v>3.045980677460002</v>
      </c>
      <c r="AI202">
        <v>500.69</v>
      </c>
      <c r="AJ202">
        <v>91.310100000000006</v>
      </c>
      <c r="AK202">
        <v>35.435099999999998</v>
      </c>
      <c r="AL202">
        <v>12.88939643669447</v>
      </c>
      <c r="AM202">
        <v>39.782697753914142</v>
      </c>
      <c r="AN202">
        <v>39.782697753914142</v>
      </c>
      <c r="AO202" t="s">
        <v>58</v>
      </c>
      <c r="AP202" t="b">
        <v>1</v>
      </c>
      <c r="AQ202">
        <v>3.0864670777491088</v>
      </c>
      <c r="AR202">
        <v>503.36700000000002</v>
      </c>
      <c r="AS202">
        <v>40.93796796030518</v>
      </c>
      <c r="AT202">
        <v>3.0864670777491088</v>
      </c>
      <c r="AU202" s="5">
        <v>30.580662066347969</v>
      </c>
      <c r="AV202" s="5">
        <v>43.680811813645626</v>
      </c>
      <c r="AW202" s="5">
        <v>2.3055909070785843</v>
      </c>
      <c r="AX202" s="5">
        <v>3.2932603719582989</v>
      </c>
      <c r="AY202" t="s">
        <v>59</v>
      </c>
      <c r="AZ202" t="s">
        <v>60</v>
      </c>
      <c r="BA202" s="23">
        <f t="shared" si="3"/>
        <v>0</v>
      </c>
      <c r="BB202" s="23">
        <f>IF(AND(ISNUMBER(H202),Metadata!$H$5&gt;Metadata!$G$5),MAX(Metadata!$G$5-H202,0,H202-Metadata!$H$5)/(Metadata!$H$5-Metadata!$G$5),"Missing input")</f>
        <v>0</v>
      </c>
      <c r="BC202" s="23">
        <f>IF(AND(ISNUMBER(L202),Metadata!$H$8&gt;Metadata!$G$8),MAX(Metadata!$G$8-L202,0,L202-Metadata!$H$8)/(Metadata!$H$8-Metadata!$G$8),"Missing input")</f>
        <v>0</v>
      </c>
    </row>
    <row r="203" spans="1:55" x14ac:dyDescent="0.2">
      <c r="A203" t="s">
        <v>277</v>
      </c>
      <c r="B203" t="s">
        <v>276</v>
      </c>
      <c r="C203" t="s">
        <v>84</v>
      </c>
      <c r="D203" t="s">
        <v>55</v>
      </c>
      <c r="E203" t="s">
        <v>56</v>
      </c>
      <c r="F203">
        <v>2</v>
      </c>
      <c r="G203">
        <v>39.289372610104301</v>
      </c>
      <c r="H203">
        <v>11.43599740060767</v>
      </c>
      <c r="I203">
        <v>1.57</v>
      </c>
      <c r="J203">
        <v>1.5</v>
      </c>
      <c r="K203">
        <v>0.2</v>
      </c>
      <c r="L203">
        <v>0.5</v>
      </c>
      <c r="M203">
        <v>6</v>
      </c>
      <c r="N203">
        <v>190</v>
      </c>
      <c r="Q203">
        <v>0.1984163781214606</v>
      </c>
      <c r="R203">
        <v>1301660.814121977</v>
      </c>
      <c r="S203">
        <v>-2.727073446725934E-3</v>
      </c>
      <c r="T203">
        <v>682.24591859950192</v>
      </c>
      <c r="U203">
        <v>1187.8321247526401</v>
      </c>
      <c r="V203">
        <v>150.93936252201371</v>
      </c>
      <c r="W203">
        <v>7.8695981280522576</v>
      </c>
      <c r="X203" t="s">
        <v>57</v>
      </c>
      <c r="Z203">
        <v>477.90499999999997</v>
      </c>
      <c r="AA203">
        <v>95.163399999999996</v>
      </c>
      <c r="AB203">
        <v>59.830300000000001</v>
      </c>
      <c r="AC203">
        <v>11.92640365367582</v>
      </c>
      <c r="AD203">
        <v>88.932776576389131</v>
      </c>
      <c r="AE203">
        <v>88.932776576389131</v>
      </c>
      <c r="AF203" t="s">
        <v>58</v>
      </c>
      <c r="AG203" t="b">
        <v>1</v>
      </c>
      <c r="AH203">
        <v>7.4567974687809011</v>
      </c>
      <c r="AI203">
        <v>477.101</v>
      </c>
      <c r="AJ203">
        <v>91.310100000000006</v>
      </c>
      <c r="AK203">
        <v>51.757599999999996</v>
      </c>
      <c r="AL203">
        <v>11.45398979300499</v>
      </c>
      <c r="AM203">
        <v>87.782450060204084</v>
      </c>
      <c r="AN203">
        <v>87.782450060204084</v>
      </c>
      <c r="AO203" t="s">
        <v>58</v>
      </c>
      <c r="AP203" t="b">
        <v>1</v>
      </c>
      <c r="AQ203">
        <v>7.6639190052197579</v>
      </c>
      <c r="AR203">
        <v>477.90499999999997</v>
      </c>
      <c r="AS203">
        <v>88.932776576389131</v>
      </c>
      <c r="AT203">
        <v>7.6639190052197579</v>
      </c>
      <c r="AU203" s="5">
        <v>66.432784102562678</v>
      </c>
      <c r="AV203" s="5">
        <v>94.891272607007195</v>
      </c>
      <c r="AW203" s="5">
        <v>5.7249474968991594</v>
      </c>
      <c r="AX203" s="5">
        <v>8.1774015785694818</v>
      </c>
      <c r="AY203" t="s">
        <v>59</v>
      </c>
      <c r="AZ203" t="s">
        <v>60</v>
      </c>
      <c r="BA203" s="23">
        <f t="shared" si="3"/>
        <v>0</v>
      </c>
      <c r="BB203" s="23">
        <f>IF(AND(ISNUMBER(H203),Metadata!$H$5&gt;Metadata!$G$5),MAX(Metadata!$G$5-H203,0,H203-Metadata!$H$5)/(Metadata!$H$5-Metadata!$G$5),"Missing input")</f>
        <v>0</v>
      </c>
      <c r="BC203" s="23">
        <f>IF(AND(ISNUMBER(L203),Metadata!$H$8&gt;Metadata!$G$8),MAX(Metadata!$G$8-L203,0,L203-Metadata!$H$8)/(Metadata!$H$8-Metadata!$G$8),"Missing input")</f>
        <v>0</v>
      </c>
    </row>
    <row r="204" spans="1:55" x14ac:dyDescent="0.2">
      <c r="A204" t="s">
        <v>278</v>
      </c>
      <c r="B204" t="s">
        <v>276</v>
      </c>
      <c r="C204" t="s">
        <v>84</v>
      </c>
      <c r="D204" t="s">
        <v>55</v>
      </c>
      <c r="E204" t="s">
        <v>56</v>
      </c>
      <c r="F204">
        <v>3</v>
      </c>
      <c r="G204">
        <v>50.720967279676117</v>
      </c>
      <c r="H204">
        <v>41.572102032205443</v>
      </c>
      <c r="I204">
        <v>1.57</v>
      </c>
      <c r="J204">
        <v>1.5</v>
      </c>
      <c r="K204">
        <v>0.2</v>
      </c>
      <c r="L204">
        <v>0.5</v>
      </c>
      <c r="M204">
        <v>6</v>
      </c>
      <c r="N204">
        <v>190</v>
      </c>
      <c r="Q204">
        <v>0.1984163781214606</v>
      </c>
      <c r="R204">
        <v>6279453.0057685468</v>
      </c>
      <c r="S204">
        <v>-4.5938192524665172E-3</v>
      </c>
      <c r="T204">
        <v>2795.5189136654449</v>
      </c>
      <c r="U204">
        <v>1230.3662099818951</v>
      </c>
      <c r="V204">
        <v>618.47763576669149</v>
      </c>
      <c r="W204">
        <v>1.989346322048783</v>
      </c>
      <c r="X204" t="s">
        <v>57</v>
      </c>
      <c r="Z204">
        <v>995.33600000000001</v>
      </c>
      <c r="AA204">
        <v>95.163399999999996</v>
      </c>
      <c r="AB204">
        <v>25.972000000000001</v>
      </c>
      <c r="AC204">
        <v>12.73943874606991</v>
      </c>
      <c r="AD204">
        <v>26.54394078820998</v>
      </c>
      <c r="AE204">
        <v>26.54394078820998</v>
      </c>
      <c r="AF204" t="s">
        <v>58</v>
      </c>
      <c r="AG204" t="b">
        <v>1</v>
      </c>
      <c r="AH204">
        <v>2.0836036278598802</v>
      </c>
      <c r="AI204">
        <v>1003.27</v>
      </c>
      <c r="AJ204">
        <v>91.310100000000006</v>
      </c>
      <c r="AK204">
        <v>26.7163</v>
      </c>
      <c r="AL204">
        <v>11.9068445229682</v>
      </c>
      <c r="AM204">
        <v>27.422001142936288</v>
      </c>
      <c r="AN204">
        <v>27.422001142936288</v>
      </c>
      <c r="AO204" t="s">
        <v>58</v>
      </c>
      <c r="AP204" t="b">
        <v>1</v>
      </c>
      <c r="AQ204">
        <v>2.3030452014418681</v>
      </c>
      <c r="AR204">
        <v>1003.27</v>
      </c>
      <c r="AS204">
        <v>27.422001142936288</v>
      </c>
      <c r="AT204">
        <v>2.3030452014418681</v>
      </c>
      <c r="AU204" s="5">
        <v>20.484234853773408</v>
      </c>
      <c r="AV204" s="5">
        <v>29.259275219513018</v>
      </c>
      <c r="AW204" s="5">
        <v>1.7203747654770754</v>
      </c>
      <c r="AX204" s="5">
        <v>2.4573492299384729</v>
      </c>
      <c r="AY204" t="s">
        <v>64</v>
      </c>
      <c r="AZ204" t="s">
        <v>7</v>
      </c>
      <c r="BA204" s="23">
        <f t="shared" si="3"/>
        <v>4.6063612035701466E-2</v>
      </c>
      <c r="BB204" s="23">
        <f>IF(AND(ISNUMBER(H204),Metadata!$H$5&gt;Metadata!$G$5),MAX(Metadata!$G$5-H204,0,H204-Metadata!$H$5)/(Metadata!$H$5-Metadata!$G$5),"Missing input")</f>
        <v>4.6063612035701466E-2</v>
      </c>
      <c r="BC204" s="23">
        <f>IF(AND(ISNUMBER(L204),Metadata!$H$8&gt;Metadata!$G$8),MAX(Metadata!$G$8-L204,0,L204-Metadata!$H$8)/(Metadata!$H$8-Metadata!$G$8),"Missing input")</f>
        <v>0</v>
      </c>
    </row>
    <row r="205" spans="1:55" x14ac:dyDescent="0.2">
      <c r="A205" t="s">
        <v>279</v>
      </c>
      <c r="B205" t="s">
        <v>276</v>
      </c>
      <c r="C205" t="s">
        <v>84</v>
      </c>
      <c r="D205" t="s">
        <v>55</v>
      </c>
      <c r="E205" t="s">
        <v>56</v>
      </c>
      <c r="F205">
        <v>4</v>
      </c>
      <c r="G205">
        <v>40.065365059576777</v>
      </c>
      <c r="H205">
        <v>25.23064360495534</v>
      </c>
      <c r="I205">
        <v>1.57</v>
      </c>
      <c r="J205">
        <v>1.5</v>
      </c>
      <c r="K205">
        <v>0.2</v>
      </c>
      <c r="L205">
        <v>0.5</v>
      </c>
      <c r="M205">
        <v>6</v>
      </c>
      <c r="N205">
        <v>190</v>
      </c>
      <c r="Q205">
        <v>0.1984163781214606</v>
      </c>
      <c r="R205">
        <v>2986346.165161836</v>
      </c>
      <c r="S205">
        <v>-4.0885132729850367E-3</v>
      </c>
      <c r="T205">
        <v>1323.2635029237761</v>
      </c>
      <c r="U205">
        <v>1190.900947168539</v>
      </c>
      <c r="V205">
        <v>292.75741215127789</v>
      </c>
      <c r="W205">
        <v>4.0678763294749967</v>
      </c>
      <c r="X205" t="s">
        <v>57</v>
      </c>
      <c r="Z205">
        <v>721.60699999999997</v>
      </c>
      <c r="AA205">
        <v>95.163399999999996</v>
      </c>
      <c r="AB205">
        <v>37.809100000000001</v>
      </c>
      <c r="AC205">
        <v>13.010510960433949</v>
      </c>
      <c r="AD205">
        <v>44.997954080722671</v>
      </c>
      <c r="AE205">
        <v>44.997954080722671</v>
      </c>
      <c r="AF205" t="s">
        <v>58</v>
      </c>
      <c r="AG205" t="b">
        <v>1</v>
      </c>
      <c r="AH205">
        <v>3.4585846949105381</v>
      </c>
      <c r="AI205">
        <v>720.75800000000004</v>
      </c>
      <c r="AJ205">
        <v>91.310100000000006</v>
      </c>
      <c r="AK205">
        <v>38.574199999999998</v>
      </c>
      <c r="AL205">
        <v>12.722652031987421</v>
      </c>
      <c r="AM205">
        <v>45.340644304865393</v>
      </c>
      <c r="AN205">
        <v>45.340644304865393</v>
      </c>
      <c r="AO205" t="s">
        <v>58</v>
      </c>
      <c r="AP205" t="b">
        <v>1</v>
      </c>
      <c r="AQ205">
        <v>3.563773039683038</v>
      </c>
      <c r="AR205">
        <v>721.60699999999997</v>
      </c>
      <c r="AS205">
        <v>45.340644304865393</v>
      </c>
      <c r="AT205">
        <v>3.563773039683038</v>
      </c>
      <c r="AU205" s="5">
        <v>33.869461295734446</v>
      </c>
      <c r="AV205" s="5">
        <v>48.378467473291373</v>
      </c>
      <c r="AW205" s="5">
        <v>2.6621384606432295</v>
      </c>
      <c r="AX205" s="5">
        <v>3.8025458333418016</v>
      </c>
      <c r="AY205" t="s">
        <v>59</v>
      </c>
      <c r="AZ205" t="s">
        <v>60</v>
      </c>
      <c r="BA205" s="23">
        <f t="shared" si="3"/>
        <v>0</v>
      </c>
      <c r="BB205" s="23">
        <f>IF(AND(ISNUMBER(H205),Metadata!$H$5&gt;Metadata!$G$5),MAX(Metadata!$G$5-H205,0,H205-Metadata!$H$5)/(Metadata!$H$5-Metadata!$G$5),"Missing input")</f>
        <v>0</v>
      </c>
      <c r="BC205" s="23">
        <f>IF(AND(ISNUMBER(L205),Metadata!$H$8&gt;Metadata!$G$8),MAX(Metadata!$G$8-L205,0,L205-Metadata!$H$8)/(Metadata!$H$8-Metadata!$G$8),"Missing input")</f>
        <v>0</v>
      </c>
    </row>
    <row r="206" spans="1:55" x14ac:dyDescent="0.2">
      <c r="A206" t="s">
        <v>280</v>
      </c>
      <c r="B206" t="s">
        <v>276</v>
      </c>
      <c r="C206" t="s">
        <v>84</v>
      </c>
      <c r="D206" t="s">
        <v>55</v>
      </c>
      <c r="E206" t="s">
        <v>56</v>
      </c>
      <c r="F206">
        <v>5</v>
      </c>
      <c r="G206">
        <v>44.691650234033148</v>
      </c>
      <c r="H206">
        <v>35.278860063057749</v>
      </c>
      <c r="I206">
        <v>1.57</v>
      </c>
      <c r="J206">
        <v>1.5</v>
      </c>
      <c r="K206">
        <v>0.2</v>
      </c>
      <c r="L206">
        <v>0.5</v>
      </c>
      <c r="M206">
        <v>6</v>
      </c>
      <c r="N206">
        <v>190</v>
      </c>
      <c r="Q206">
        <v>0.1984163781214606</v>
      </c>
      <c r="R206">
        <v>4683732.748780732</v>
      </c>
      <c r="S206">
        <v>-4.5415877607862653E-3</v>
      </c>
      <c r="T206">
        <v>2061.9786008310161</v>
      </c>
      <c r="U206">
        <v>1208.610271479417</v>
      </c>
      <c r="V206">
        <v>456.18995593606547</v>
      </c>
      <c r="W206">
        <v>2.6493574787271341</v>
      </c>
      <c r="X206" t="s">
        <v>57</v>
      </c>
      <c r="Z206">
        <v>880.75</v>
      </c>
      <c r="AA206">
        <v>95.163399999999996</v>
      </c>
      <c r="AB206">
        <v>29.7498</v>
      </c>
      <c r="AC206">
        <v>13.06928330578512</v>
      </c>
      <c r="AD206">
        <v>31.593142826505911</v>
      </c>
      <c r="AE206">
        <v>31.593142826505911</v>
      </c>
      <c r="AF206" t="s">
        <v>58</v>
      </c>
      <c r="AG206" t="b">
        <v>1</v>
      </c>
      <c r="AH206">
        <v>2.4173584799803969</v>
      </c>
      <c r="AI206">
        <v>884.59500000000003</v>
      </c>
      <c r="AJ206">
        <v>91.310100000000006</v>
      </c>
      <c r="AK206">
        <v>30.5745</v>
      </c>
      <c r="AL206">
        <v>12.54704184589581</v>
      </c>
      <c r="AM206">
        <v>32.291230857857329</v>
      </c>
      <c r="AN206">
        <v>32.291230857857329</v>
      </c>
      <c r="AO206" t="s">
        <v>58</v>
      </c>
      <c r="AP206" t="b">
        <v>1</v>
      </c>
      <c r="AQ206">
        <v>2.5736130678818059</v>
      </c>
      <c r="AR206">
        <v>884.59500000000003</v>
      </c>
      <c r="AS206">
        <v>32.291230857857329</v>
      </c>
      <c r="AT206">
        <v>2.5736130678818059</v>
      </c>
      <c r="AU206" s="5">
        <v>24.121549450819426</v>
      </c>
      <c r="AV206" s="5">
        <v>34.454743325333766</v>
      </c>
      <c r="AW206" s="5">
        <v>1.922488961707709</v>
      </c>
      <c r="AX206" s="5">
        <v>2.7460451434298867</v>
      </c>
      <c r="AY206" t="s">
        <v>59</v>
      </c>
      <c r="AZ206" t="s">
        <v>60</v>
      </c>
      <c r="BA206" s="23">
        <f t="shared" si="3"/>
        <v>0</v>
      </c>
      <c r="BB206" s="23">
        <f>IF(AND(ISNUMBER(H206),Metadata!$H$5&gt;Metadata!$G$5),MAX(Metadata!$G$5-H206,0,H206-Metadata!$H$5)/(Metadata!$H$5-Metadata!$G$5),"Missing input")</f>
        <v>0</v>
      </c>
      <c r="BC206" s="23">
        <f>IF(AND(ISNUMBER(L206),Metadata!$H$8&gt;Metadata!$G$8),MAX(Metadata!$G$8-L206,0,L206-Metadata!$H$8)/(Metadata!$H$8-Metadata!$G$8),"Missing input")</f>
        <v>0</v>
      </c>
    </row>
    <row r="207" spans="1:55" x14ac:dyDescent="0.2">
      <c r="A207" t="s">
        <v>281</v>
      </c>
      <c r="B207" t="s">
        <v>276</v>
      </c>
      <c r="C207" t="s">
        <v>84</v>
      </c>
      <c r="D207" t="s">
        <v>55</v>
      </c>
      <c r="E207" t="s">
        <v>56</v>
      </c>
      <c r="F207">
        <v>6</v>
      </c>
      <c r="G207">
        <v>33.086500490231572</v>
      </c>
      <c r="H207">
        <v>19.79580616436397</v>
      </c>
      <c r="I207">
        <v>1.57</v>
      </c>
      <c r="J207">
        <v>1.5</v>
      </c>
      <c r="K207">
        <v>0.2</v>
      </c>
      <c r="L207">
        <v>0.5</v>
      </c>
      <c r="M207">
        <v>6</v>
      </c>
      <c r="N207">
        <v>190</v>
      </c>
      <c r="Q207">
        <v>0.1984163781214606</v>
      </c>
      <c r="R207">
        <v>1918643.176085273</v>
      </c>
      <c r="S207">
        <v>-3.6340524274994989E-3</v>
      </c>
      <c r="T207">
        <v>915.0391797947683</v>
      </c>
      <c r="U207">
        <v>1162.1227647295971</v>
      </c>
      <c r="V207">
        <v>202.44229641477179</v>
      </c>
      <c r="W207">
        <v>5.7405136441872484</v>
      </c>
      <c r="X207" t="s">
        <v>57</v>
      </c>
      <c r="Z207">
        <v>561.86</v>
      </c>
      <c r="AA207">
        <v>95.163399999999996</v>
      </c>
      <c r="AB207">
        <v>44.910200000000003</v>
      </c>
      <c r="AC207">
        <v>12.67537685032895</v>
      </c>
      <c r="AD207">
        <v>60.457322048250312</v>
      </c>
      <c r="AE207">
        <v>60.457322048250312</v>
      </c>
      <c r="AF207" t="s">
        <v>58</v>
      </c>
      <c r="AG207" t="b">
        <v>1</v>
      </c>
      <c r="AH207">
        <v>4.7696666349356986</v>
      </c>
      <c r="AI207">
        <v>559.56899999999996</v>
      </c>
      <c r="AJ207">
        <v>91.310100000000006</v>
      </c>
      <c r="AK207">
        <v>39.358900000000013</v>
      </c>
      <c r="AL207">
        <v>12.260771442095299</v>
      </c>
      <c r="AM207">
        <v>59.46226848381653</v>
      </c>
      <c r="AN207">
        <v>59.46226848381653</v>
      </c>
      <c r="AO207" t="s">
        <v>58</v>
      </c>
      <c r="AP207" t="b">
        <v>1</v>
      </c>
      <c r="AQ207">
        <v>4.849798298960442</v>
      </c>
      <c r="AR207">
        <v>561.86</v>
      </c>
      <c r="AS207">
        <v>60.457322048250312</v>
      </c>
      <c r="AT207">
        <v>4.849798298960442</v>
      </c>
      <c r="AU207" s="5">
        <v>45.16161957004298</v>
      </c>
      <c r="AV207" s="5">
        <v>64.507962625483074</v>
      </c>
      <c r="AW207" s="5">
        <v>3.6227993293234504</v>
      </c>
      <c r="AX207" s="5">
        <v>5.1747347849907914</v>
      </c>
      <c r="AY207" t="s">
        <v>59</v>
      </c>
      <c r="AZ207" t="s">
        <v>60</v>
      </c>
      <c r="BA207" s="23">
        <f t="shared" si="3"/>
        <v>0</v>
      </c>
      <c r="BB207" s="23">
        <f>IF(AND(ISNUMBER(H207),Metadata!$H$5&gt;Metadata!$G$5),MAX(Metadata!$G$5-H207,0,H207-Metadata!$H$5)/(Metadata!$H$5-Metadata!$G$5),"Missing input")</f>
        <v>0</v>
      </c>
      <c r="BC207" s="23">
        <f>IF(AND(ISNUMBER(L207),Metadata!$H$8&gt;Metadata!$G$8),MAX(Metadata!$G$8-L207,0,L207-Metadata!$H$8)/(Metadata!$H$8-Metadata!$G$8),"Missing input")</f>
        <v>0</v>
      </c>
    </row>
    <row r="208" spans="1:55" x14ac:dyDescent="0.2">
      <c r="A208" t="s">
        <v>282</v>
      </c>
      <c r="B208" t="s">
        <v>276</v>
      </c>
      <c r="C208" t="s">
        <v>84</v>
      </c>
      <c r="D208" t="s">
        <v>55</v>
      </c>
      <c r="E208" t="s">
        <v>56</v>
      </c>
      <c r="F208">
        <v>7</v>
      </c>
      <c r="G208">
        <v>42.943727860216583</v>
      </c>
      <c r="H208">
        <v>31.604415760045629</v>
      </c>
      <c r="I208">
        <v>1.57</v>
      </c>
      <c r="J208">
        <v>1.5</v>
      </c>
      <c r="K208">
        <v>0.2</v>
      </c>
      <c r="L208">
        <v>0.5</v>
      </c>
      <c r="M208">
        <v>6</v>
      </c>
      <c r="N208">
        <v>190</v>
      </c>
      <c r="Q208">
        <v>0.1984163781214606</v>
      </c>
      <c r="R208">
        <v>4025355.613741619</v>
      </c>
      <c r="S208">
        <v>-4.4328037390030479E-3</v>
      </c>
      <c r="T208">
        <v>1767.125197942283</v>
      </c>
      <c r="U208">
        <v>1202.0321860448009</v>
      </c>
      <c r="V208">
        <v>390.95690219962017</v>
      </c>
      <c r="W208">
        <v>3.074590010514894</v>
      </c>
      <c r="X208" t="s">
        <v>57</v>
      </c>
      <c r="Z208">
        <v>830.23800000000006</v>
      </c>
      <c r="AA208">
        <v>95.163399999999996</v>
      </c>
      <c r="AB208">
        <v>32.772100000000002</v>
      </c>
      <c r="AC208">
        <v>13.21607765281821</v>
      </c>
      <c r="AD208">
        <v>36.127721740900157</v>
      </c>
      <c r="AE208">
        <v>36.127721740900157</v>
      </c>
      <c r="AF208" t="s">
        <v>58</v>
      </c>
      <c r="AG208" t="b">
        <v>1</v>
      </c>
      <c r="AH208">
        <v>2.733619057784233</v>
      </c>
      <c r="AI208">
        <v>829.20699999999999</v>
      </c>
      <c r="AJ208">
        <v>91.310100000000006</v>
      </c>
      <c r="AK208">
        <v>32.289299999999997</v>
      </c>
      <c r="AL208">
        <v>12.708302930543381</v>
      </c>
      <c r="AM208">
        <v>35.774920379490887</v>
      </c>
      <c r="AN208">
        <v>35.774920379490887</v>
      </c>
      <c r="AO208" t="s">
        <v>58</v>
      </c>
      <c r="AP208" t="b">
        <v>1</v>
      </c>
      <c r="AQ208">
        <v>2.815082436657121</v>
      </c>
      <c r="AR208">
        <v>830.23800000000006</v>
      </c>
      <c r="AS208">
        <v>36.127721740900157</v>
      </c>
      <c r="AT208">
        <v>2.815082436657121</v>
      </c>
      <c r="AU208" s="5">
        <v>26.987408140452416</v>
      </c>
      <c r="AV208" s="5">
        <v>38.548279097540465</v>
      </c>
      <c r="AW208" s="5">
        <v>2.1028665801828694</v>
      </c>
      <c r="AX208" s="5">
        <v>3.0036929599131481</v>
      </c>
      <c r="AY208" t="s">
        <v>59</v>
      </c>
      <c r="AZ208" t="s">
        <v>60</v>
      </c>
      <c r="BA208" s="23">
        <f t="shared" si="3"/>
        <v>0</v>
      </c>
      <c r="BB208" s="23">
        <f>IF(AND(ISNUMBER(H208),Metadata!$H$5&gt;Metadata!$G$5),MAX(Metadata!$G$5-H208,0,H208-Metadata!$H$5)/(Metadata!$H$5-Metadata!$G$5),"Missing input")</f>
        <v>0</v>
      </c>
      <c r="BC208" s="23">
        <f>IF(AND(ISNUMBER(L208),Metadata!$H$8&gt;Metadata!$G$8),MAX(Metadata!$G$8-L208,0,L208-Metadata!$H$8)/(Metadata!$H$8-Metadata!$G$8),"Missing input")</f>
        <v>0</v>
      </c>
    </row>
    <row r="209" spans="1:55" x14ac:dyDescent="0.2">
      <c r="A209" t="s">
        <v>283</v>
      </c>
      <c r="B209" t="s">
        <v>276</v>
      </c>
      <c r="C209" t="s">
        <v>84</v>
      </c>
      <c r="D209" t="s">
        <v>55</v>
      </c>
      <c r="E209" t="s">
        <v>56</v>
      </c>
      <c r="F209">
        <v>8</v>
      </c>
      <c r="G209">
        <v>29.155454969686971</v>
      </c>
      <c r="H209">
        <v>7.3398505058277053</v>
      </c>
      <c r="I209">
        <v>1.57</v>
      </c>
      <c r="J209">
        <v>1.5</v>
      </c>
      <c r="K209">
        <v>0.2</v>
      </c>
      <c r="L209">
        <v>0.5</v>
      </c>
      <c r="M209">
        <v>6</v>
      </c>
      <c r="N209">
        <v>190</v>
      </c>
      <c r="Q209">
        <v>0.1984163781214606</v>
      </c>
      <c r="R209">
        <v>595711.36772068124</v>
      </c>
      <c r="S209">
        <v>-2.2632637330522688E-3</v>
      </c>
      <c r="T209">
        <v>480.50831710260849</v>
      </c>
      <c r="U209">
        <v>1144.5605684247801</v>
      </c>
      <c r="V209">
        <v>106.3071498014621</v>
      </c>
      <c r="W209">
        <v>10.76654364793287</v>
      </c>
      <c r="X209" t="s">
        <v>57</v>
      </c>
      <c r="Z209">
        <v>332.13099999999997</v>
      </c>
      <c r="AA209">
        <v>95.02879999999999</v>
      </c>
      <c r="AB209">
        <v>37.809100000000001</v>
      </c>
      <c r="AC209">
        <v>12.370389818229709</v>
      </c>
      <c r="AD209">
        <v>37.839966011865258</v>
      </c>
      <c r="AE209">
        <v>37.839966011865258</v>
      </c>
      <c r="AF209" t="s">
        <v>58</v>
      </c>
      <c r="AG209" t="b">
        <v>1</v>
      </c>
      <c r="AH209">
        <v>3.058914599126223</v>
      </c>
      <c r="AI209">
        <v>333.43</v>
      </c>
      <c r="AJ209">
        <v>90.839199999999991</v>
      </c>
      <c r="AK209">
        <v>32.289299999999997</v>
      </c>
      <c r="AL209">
        <v>12.17460531871701</v>
      </c>
      <c r="AM209">
        <v>32.382964988758722</v>
      </c>
      <c r="AN209">
        <v>32.382964988758722</v>
      </c>
      <c r="AO209" t="s">
        <v>58</v>
      </c>
      <c r="AP209" t="b">
        <v>1</v>
      </c>
      <c r="AQ209">
        <v>2.659878011731005</v>
      </c>
      <c r="AR209">
        <v>333.43</v>
      </c>
      <c r="AS209">
        <v>37.839966011865258</v>
      </c>
      <c r="AT209">
        <v>3.058914599126223</v>
      </c>
      <c r="AU209" s="5">
        <v>28.266454610863349</v>
      </c>
      <c r="AV209" s="5">
        <v>40.375243734660231</v>
      </c>
      <c r="AW209" s="5">
        <v>2.2850092055472886</v>
      </c>
      <c r="AX209" s="5">
        <v>3.2638618772676797</v>
      </c>
      <c r="AY209" t="s">
        <v>59</v>
      </c>
      <c r="AZ209" t="s">
        <v>60</v>
      </c>
      <c r="BA209" s="23">
        <f t="shared" si="3"/>
        <v>0</v>
      </c>
      <c r="BB209" s="23">
        <f>IF(AND(ISNUMBER(H209),Metadata!$H$5&gt;Metadata!$G$5),MAX(Metadata!$G$5-H209,0,H209-Metadata!$H$5)/(Metadata!$H$5-Metadata!$G$5),"Missing input")</f>
        <v>0</v>
      </c>
      <c r="BC209" s="23">
        <f>IF(AND(ISNUMBER(L209),Metadata!$H$8&gt;Metadata!$G$8),MAX(Metadata!$G$8-L209,0,L209-Metadata!$H$8)/(Metadata!$H$8-Metadata!$G$8),"Missing input")</f>
        <v>0</v>
      </c>
    </row>
    <row r="210" spans="1:55" x14ac:dyDescent="0.2">
      <c r="A210" t="s">
        <v>284</v>
      </c>
      <c r="B210" t="s">
        <v>276</v>
      </c>
      <c r="C210" t="s">
        <v>84</v>
      </c>
      <c r="D210" t="s">
        <v>55</v>
      </c>
      <c r="E210" t="s">
        <v>56</v>
      </c>
      <c r="F210">
        <v>9</v>
      </c>
      <c r="G210">
        <v>59.748609235827082</v>
      </c>
      <c r="H210">
        <v>37.783512331141722</v>
      </c>
      <c r="I210">
        <v>1.57</v>
      </c>
      <c r="J210">
        <v>1.5</v>
      </c>
      <c r="K210">
        <v>0.2</v>
      </c>
      <c r="L210">
        <v>0.5</v>
      </c>
      <c r="M210">
        <v>6</v>
      </c>
      <c r="N210">
        <v>190</v>
      </c>
      <c r="Q210">
        <v>0.1984163781214606</v>
      </c>
      <c r="R210">
        <v>6726258.2664913209</v>
      </c>
      <c r="S210">
        <v>-4.5815778542652513E-3</v>
      </c>
      <c r="T210">
        <v>2958.9793454838732</v>
      </c>
      <c r="U210">
        <v>1260.650119186857</v>
      </c>
      <c r="V210">
        <v>654.64144811590108</v>
      </c>
      <c r="W210">
        <v>1.925710818975924</v>
      </c>
      <c r="X210" t="s">
        <v>57</v>
      </c>
      <c r="Z210">
        <v>1103.56</v>
      </c>
      <c r="AA210">
        <v>95.163399999999996</v>
      </c>
      <c r="AB210">
        <v>25.7987</v>
      </c>
      <c r="AC210">
        <v>13.00629356657271</v>
      </c>
      <c r="AD210">
        <v>28.564621535580109</v>
      </c>
      <c r="AE210">
        <v>28.564621535580109</v>
      </c>
      <c r="AF210" t="s">
        <v>58</v>
      </c>
      <c r="AG210" t="b">
        <v>1</v>
      </c>
      <c r="AH210">
        <v>2.196215346775936</v>
      </c>
      <c r="AI210">
        <v>1131.25</v>
      </c>
      <c r="AJ210">
        <v>91.310100000000006</v>
      </c>
      <c r="AK210">
        <v>29.074100000000001</v>
      </c>
      <c r="AL210">
        <v>12.77914075660761</v>
      </c>
      <c r="AM210">
        <v>29.984126967877561</v>
      </c>
      <c r="AN210">
        <v>29.984126967877561</v>
      </c>
      <c r="AO210" t="s">
        <v>58</v>
      </c>
      <c r="AP210" t="b">
        <v>1</v>
      </c>
      <c r="AQ210">
        <v>2.3463335711654869</v>
      </c>
      <c r="AR210">
        <v>1131.25</v>
      </c>
      <c r="AS210">
        <v>29.984126967877561</v>
      </c>
      <c r="AT210">
        <v>2.3463335711654869</v>
      </c>
      <c r="AU210" s="5">
        <v>22.398142845004539</v>
      </c>
      <c r="AV210" s="5">
        <v>31.993063474725357</v>
      </c>
      <c r="AW210" s="5">
        <v>1.7527111776606188</v>
      </c>
      <c r="AX210" s="5">
        <v>2.5035379204335744</v>
      </c>
      <c r="AY210" t="s">
        <v>59</v>
      </c>
      <c r="AZ210" t="s">
        <v>60</v>
      </c>
      <c r="BA210" s="23">
        <f t="shared" si="3"/>
        <v>0</v>
      </c>
      <c r="BB210" s="23">
        <f>IF(AND(ISNUMBER(H210),Metadata!$H$5&gt;Metadata!$G$5),MAX(Metadata!$G$5-H210,0,H210-Metadata!$H$5)/(Metadata!$H$5-Metadata!$G$5),"Missing input")</f>
        <v>0</v>
      </c>
      <c r="BC210" s="23">
        <f>IF(AND(ISNUMBER(L210),Metadata!$H$8&gt;Metadata!$G$8),MAX(Metadata!$G$8-L210,0,L210-Metadata!$H$8)/(Metadata!$H$8-Metadata!$G$8),"Missing input")</f>
        <v>0</v>
      </c>
    </row>
    <row r="211" spans="1:55" x14ac:dyDescent="0.2">
      <c r="A211" t="s">
        <v>285</v>
      </c>
      <c r="B211" t="s">
        <v>276</v>
      </c>
      <c r="C211" t="s">
        <v>84</v>
      </c>
      <c r="D211" t="s">
        <v>55</v>
      </c>
      <c r="E211" t="s">
        <v>56</v>
      </c>
      <c r="F211">
        <v>10</v>
      </c>
      <c r="G211">
        <v>34.746337553007109</v>
      </c>
      <c r="H211">
        <v>23.7414613202046</v>
      </c>
      <c r="I211">
        <v>1.57</v>
      </c>
      <c r="J211">
        <v>1.5</v>
      </c>
      <c r="K211">
        <v>0.2</v>
      </c>
      <c r="L211">
        <v>0.5</v>
      </c>
      <c r="M211">
        <v>6</v>
      </c>
      <c r="N211">
        <v>190</v>
      </c>
      <c r="Q211">
        <v>0.1984163781214606</v>
      </c>
      <c r="R211">
        <v>2428507.8121004719</v>
      </c>
      <c r="S211">
        <v>-3.9782605761742862E-3</v>
      </c>
      <c r="T211">
        <v>1111.217336052197</v>
      </c>
      <c r="U211">
        <v>1169.2230120543611</v>
      </c>
      <c r="V211">
        <v>245.84454337438001</v>
      </c>
      <c r="W211">
        <v>4.7559445331020846</v>
      </c>
      <c r="X211" t="s">
        <v>57</v>
      </c>
      <c r="Z211">
        <v>632.28899999999999</v>
      </c>
      <c r="AA211">
        <v>95.163399999999996</v>
      </c>
      <c r="AB211">
        <v>37.809100000000001</v>
      </c>
      <c r="AC211">
        <v>12.88593934023991</v>
      </c>
      <c r="AD211">
        <v>49.04115663987946</v>
      </c>
      <c r="AE211">
        <v>49.04115663987946</v>
      </c>
      <c r="AF211" t="s">
        <v>58</v>
      </c>
      <c r="AG211" t="b">
        <v>1</v>
      </c>
      <c r="AH211">
        <v>3.8057882584263671</v>
      </c>
      <c r="AI211">
        <v>631.91700000000003</v>
      </c>
      <c r="AJ211">
        <v>91.310100000000006</v>
      </c>
      <c r="AK211">
        <v>39.358900000000013</v>
      </c>
      <c r="AL211">
        <v>12.62747909292036</v>
      </c>
      <c r="AM211">
        <v>49.138726521502058</v>
      </c>
      <c r="AN211">
        <v>49.138726521502058</v>
      </c>
      <c r="AO211" t="s">
        <v>58</v>
      </c>
      <c r="AP211" t="b">
        <v>1</v>
      </c>
      <c r="AQ211">
        <v>3.8914122256636219</v>
      </c>
      <c r="AR211">
        <v>632.28899999999999</v>
      </c>
      <c r="AS211">
        <v>49.138726521502058</v>
      </c>
      <c r="AT211">
        <v>3.8914122256636219</v>
      </c>
      <c r="AU211" s="5">
        <v>36.70662871156204</v>
      </c>
      <c r="AV211" s="5">
        <v>52.431021198442693</v>
      </c>
      <c r="AW211" s="5">
        <v>2.9068849325707253</v>
      </c>
      <c r="AX211" s="5">
        <v>4.152136844783084</v>
      </c>
      <c r="AY211" t="s">
        <v>59</v>
      </c>
      <c r="AZ211" t="s">
        <v>60</v>
      </c>
      <c r="BA211" s="23">
        <f t="shared" si="3"/>
        <v>0</v>
      </c>
      <c r="BB211" s="23">
        <f>IF(AND(ISNUMBER(H211),Metadata!$H$5&gt;Metadata!$G$5),MAX(Metadata!$G$5-H211,0,H211-Metadata!$H$5)/(Metadata!$H$5-Metadata!$G$5),"Missing input")</f>
        <v>0</v>
      </c>
      <c r="BC211" s="23">
        <f>IF(AND(ISNUMBER(L211),Metadata!$H$8&gt;Metadata!$G$8),MAX(Metadata!$G$8-L211,0,L211-Metadata!$H$8)/(Metadata!$H$8-Metadata!$G$8),"Missing input")</f>
        <v>0</v>
      </c>
    </row>
    <row r="212" spans="1:55" x14ac:dyDescent="0.2">
      <c r="A212" t="s">
        <v>286</v>
      </c>
      <c r="B212" t="s">
        <v>276</v>
      </c>
      <c r="C212" t="s">
        <v>84</v>
      </c>
      <c r="D212" t="s">
        <v>55</v>
      </c>
      <c r="E212" t="s">
        <v>56</v>
      </c>
      <c r="F212">
        <v>11</v>
      </c>
      <c r="G212">
        <v>24.502161634428251</v>
      </c>
      <c r="H212">
        <v>33.048591474592847</v>
      </c>
      <c r="I212">
        <v>1.57</v>
      </c>
      <c r="J212">
        <v>1.5</v>
      </c>
      <c r="K212">
        <v>0.2</v>
      </c>
      <c r="L212">
        <v>0.5</v>
      </c>
      <c r="M212">
        <v>6</v>
      </c>
      <c r="N212">
        <v>190</v>
      </c>
      <c r="Q212">
        <v>0.1984163781214606</v>
      </c>
      <c r="R212">
        <v>2383007.1153019848</v>
      </c>
      <c r="S212">
        <v>-4.4829641103441946E-3</v>
      </c>
      <c r="T212">
        <v>1134.971999997148</v>
      </c>
      <c r="U212">
        <v>1122.160483053573</v>
      </c>
      <c r="V212">
        <v>251.099999999369</v>
      </c>
      <c r="W212">
        <v>4.468978427146129</v>
      </c>
      <c r="X212" t="s">
        <v>57</v>
      </c>
      <c r="Z212">
        <v>560.14200000000005</v>
      </c>
      <c r="AA212">
        <v>95.163399999999996</v>
      </c>
      <c r="AB212">
        <v>31.764600000000002</v>
      </c>
      <c r="AC212">
        <v>13.10889262964476</v>
      </c>
      <c r="AD212">
        <v>35.669803136573528</v>
      </c>
      <c r="AE212">
        <v>35.669803136573528</v>
      </c>
      <c r="AF212" t="s">
        <v>58</v>
      </c>
      <c r="AG212" t="b">
        <v>1</v>
      </c>
      <c r="AH212">
        <v>2.721038621973987</v>
      </c>
      <c r="AI212">
        <v>561.57100000000003</v>
      </c>
      <c r="AJ212">
        <v>91.310100000000006</v>
      </c>
      <c r="AK212">
        <v>32.289299999999997</v>
      </c>
      <c r="AL212">
        <v>12.64185637353434</v>
      </c>
      <c r="AM212">
        <v>35.552171024807919</v>
      </c>
      <c r="AN212">
        <v>35.552171024807919</v>
      </c>
      <c r="AO212" t="s">
        <v>58</v>
      </c>
      <c r="AP212" t="b">
        <v>1</v>
      </c>
      <c r="AQ212">
        <v>2.8122587359271218</v>
      </c>
      <c r="AR212">
        <v>561.57100000000003</v>
      </c>
      <c r="AS212">
        <v>35.669803136573528</v>
      </c>
      <c r="AT212">
        <v>2.8122587359271218</v>
      </c>
      <c r="AU212" s="5">
        <v>26.645342943020424</v>
      </c>
      <c r="AV212" s="5">
        <v>38.059679946723953</v>
      </c>
      <c r="AW212" s="5">
        <v>2.1007572757375601</v>
      </c>
      <c r="AX212" s="5">
        <v>3.000680071234239</v>
      </c>
      <c r="AY212" t="s">
        <v>59</v>
      </c>
      <c r="AZ212" t="s">
        <v>60</v>
      </c>
      <c r="BA212" s="23">
        <f t="shared" si="3"/>
        <v>0</v>
      </c>
      <c r="BB212" s="23">
        <f>IF(AND(ISNUMBER(H212),Metadata!$H$5&gt;Metadata!$G$5),MAX(Metadata!$G$5-H212,0,H212-Metadata!$H$5)/(Metadata!$H$5-Metadata!$G$5),"Missing input")</f>
        <v>0</v>
      </c>
      <c r="BC212" s="23">
        <f>IF(AND(ISNUMBER(L212),Metadata!$H$8&gt;Metadata!$G$8),MAX(Metadata!$G$8-L212,0,L212-Metadata!$H$8)/(Metadata!$H$8-Metadata!$G$8),"Missing input")</f>
        <v>0</v>
      </c>
    </row>
    <row r="213" spans="1:55" x14ac:dyDescent="0.2">
      <c r="A213" t="s">
        <v>287</v>
      </c>
      <c r="B213" t="s">
        <v>276</v>
      </c>
      <c r="C213" t="s">
        <v>84</v>
      </c>
      <c r="D213" t="s">
        <v>55</v>
      </c>
      <c r="E213" t="s">
        <v>56</v>
      </c>
      <c r="F213">
        <v>12</v>
      </c>
      <c r="G213">
        <v>56.241153781572699</v>
      </c>
      <c r="H213">
        <v>14.78764467513273</v>
      </c>
      <c r="I213">
        <v>1.57</v>
      </c>
      <c r="J213">
        <v>1.5</v>
      </c>
      <c r="K213">
        <v>0.2</v>
      </c>
      <c r="L213">
        <v>0.5</v>
      </c>
      <c r="M213">
        <v>6</v>
      </c>
      <c r="N213">
        <v>190</v>
      </c>
      <c r="Q213">
        <v>0.1984163781214606</v>
      </c>
      <c r="R213">
        <v>2448743.9197241841</v>
      </c>
      <c r="S213">
        <v>-3.1088057632790919E-3</v>
      </c>
      <c r="T213">
        <v>1060.8343060705299</v>
      </c>
      <c r="U213">
        <v>1249.1757850525601</v>
      </c>
      <c r="V213">
        <v>234.69785532533859</v>
      </c>
      <c r="W213">
        <v>5.3224848745249513</v>
      </c>
      <c r="X213" t="s">
        <v>57</v>
      </c>
      <c r="Z213">
        <v>701.95799999999997</v>
      </c>
      <c r="AA213">
        <v>95.163399999999996</v>
      </c>
      <c r="AB213">
        <v>51.296399999999998</v>
      </c>
      <c r="AC213">
        <v>11.97593630798969</v>
      </c>
      <c r="AD213">
        <v>71.713193488443764</v>
      </c>
      <c r="AE213">
        <v>71.713193488443764</v>
      </c>
      <c r="AF213" t="s">
        <v>58</v>
      </c>
      <c r="AG213" t="b">
        <v>1</v>
      </c>
      <c r="AH213">
        <v>5.9881074551641236</v>
      </c>
      <c r="AI213">
        <v>700.51</v>
      </c>
      <c r="AJ213">
        <v>91.310100000000006</v>
      </c>
      <c r="AK213">
        <v>51.757599999999996</v>
      </c>
      <c r="AL213">
        <v>11.72183805951488</v>
      </c>
      <c r="AM213">
        <v>71.218416354535037</v>
      </c>
      <c r="AN213">
        <v>71.218416354535037</v>
      </c>
      <c r="AO213" t="s">
        <v>58</v>
      </c>
      <c r="AP213" t="b">
        <v>1</v>
      </c>
      <c r="AQ213">
        <v>6.0757038267326573</v>
      </c>
      <c r="AR213">
        <v>701.95799999999997</v>
      </c>
      <c r="AS213">
        <v>71.713193488443764</v>
      </c>
      <c r="AT213">
        <v>6.0757038267326573</v>
      </c>
      <c r="AU213" s="5">
        <v>53.569755535867493</v>
      </c>
      <c r="AV213" s="5">
        <v>76.51797745216949</v>
      </c>
      <c r="AW213" s="5">
        <v>4.5385507585692952</v>
      </c>
      <c r="AX213" s="5">
        <v>6.4827759831237453</v>
      </c>
      <c r="AY213" t="s">
        <v>59</v>
      </c>
      <c r="AZ213" t="s">
        <v>60</v>
      </c>
      <c r="BA213" s="23">
        <f t="shared" si="3"/>
        <v>0</v>
      </c>
      <c r="BB213" s="23">
        <f>IF(AND(ISNUMBER(H213),Metadata!$H$5&gt;Metadata!$G$5),MAX(Metadata!$G$5-H213,0,H213-Metadata!$H$5)/(Metadata!$H$5-Metadata!$G$5),"Missing input")</f>
        <v>0</v>
      </c>
      <c r="BC213" s="23">
        <f>IF(AND(ISNUMBER(L213),Metadata!$H$8&gt;Metadata!$G$8),MAX(Metadata!$G$8-L213,0,L213-Metadata!$H$8)/(Metadata!$H$8-Metadata!$G$8),"Missing input")</f>
        <v>0</v>
      </c>
    </row>
    <row r="214" spans="1:55" x14ac:dyDescent="0.2">
      <c r="A214" t="s">
        <v>288</v>
      </c>
      <c r="B214" t="s">
        <v>276</v>
      </c>
      <c r="C214" t="s">
        <v>84</v>
      </c>
      <c r="D214" t="s">
        <v>55</v>
      </c>
      <c r="E214" t="s">
        <v>56</v>
      </c>
      <c r="F214">
        <v>13</v>
      </c>
      <c r="G214">
        <v>49.119901382435643</v>
      </c>
      <c r="H214">
        <v>22.54933477691009</v>
      </c>
      <c r="I214">
        <v>1.57</v>
      </c>
      <c r="J214">
        <v>1.5</v>
      </c>
      <c r="K214">
        <v>0.2</v>
      </c>
      <c r="L214">
        <v>0.5</v>
      </c>
      <c r="M214">
        <v>6</v>
      </c>
      <c r="N214">
        <v>190</v>
      </c>
      <c r="Q214">
        <v>0.1984163781214606</v>
      </c>
      <c r="R214">
        <v>3276584.6264440492</v>
      </c>
      <c r="S214">
        <v>-3.8820021192018171E-3</v>
      </c>
      <c r="T214">
        <v>1412.968799359719</v>
      </c>
      <c r="U214">
        <v>1224.7212028570029</v>
      </c>
      <c r="V214">
        <v>312.60371667250428</v>
      </c>
      <c r="W214">
        <v>3.9178075548604832</v>
      </c>
      <c r="X214" t="s">
        <v>57</v>
      </c>
      <c r="Z214">
        <v>797.35799999999995</v>
      </c>
      <c r="AA214">
        <v>95.163399999999996</v>
      </c>
      <c r="AB214">
        <v>41.324300000000001</v>
      </c>
      <c r="AC214">
        <v>12.851653974835569</v>
      </c>
      <c r="AD214">
        <v>51.367862265067323</v>
      </c>
      <c r="AE214">
        <v>51.367862265067323</v>
      </c>
      <c r="AF214" t="s">
        <v>58</v>
      </c>
      <c r="AG214" t="b">
        <v>1</v>
      </c>
      <c r="AH214">
        <v>3.9969845411064719</v>
      </c>
      <c r="AI214">
        <v>796.33699999999999</v>
      </c>
      <c r="AJ214">
        <v>91.310100000000006</v>
      </c>
      <c r="AK214">
        <v>39.358900000000013</v>
      </c>
      <c r="AL214">
        <v>12.656031113843991</v>
      </c>
      <c r="AM214">
        <v>51.163047086493172</v>
      </c>
      <c r="AN214">
        <v>51.163047086493172</v>
      </c>
      <c r="AO214" t="s">
        <v>58</v>
      </c>
      <c r="AP214" t="b">
        <v>1</v>
      </c>
      <c r="AQ214">
        <v>4.0425822776721612</v>
      </c>
      <c r="AR214">
        <v>797.35799999999995</v>
      </c>
      <c r="AS214">
        <v>51.367862265067323</v>
      </c>
      <c r="AT214">
        <v>4.0425822776721612</v>
      </c>
      <c r="AU214" s="5">
        <v>38.371793112005292</v>
      </c>
      <c r="AV214" s="5">
        <v>54.809509036826832</v>
      </c>
      <c r="AW214" s="5">
        <v>3.0198089614211043</v>
      </c>
      <c r="AX214" s="5">
        <v>4.3134352902761961</v>
      </c>
      <c r="AY214" t="s">
        <v>59</v>
      </c>
      <c r="AZ214" t="s">
        <v>60</v>
      </c>
      <c r="BA214" s="23">
        <f t="shared" si="3"/>
        <v>0</v>
      </c>
      <c r="BB214" s="23">
        <f>IF(AND(ISNUMBER(H214),Metadata!$H$5&gt;Metadata!$G$5),MAX(Metadata!$G$5-H214,0,H214-Metadata!$H$5)/(Metadata!$H$5-Metadata!$G$5),"Missing input")</f>
        <v>0</v>
      </c>
      <c r="BC214" s="23">
        <f>IF(AND(ISNUMBER(L214),Metadata!$H$8&gt;Metadata!$G$8),MAX(Metadata!$G$8-L214,0,L214-Metadata!$H$8)/(Metadata!$H$8-Metadata!$G$8),"Missing input")</f>
        <v>0</v>
      </c>
    </row>
    <row r="215" spans="1:55" x14ac:dyDescent="0.2">
      <c r="A215" t="s">
        <v>289</v>
      </c>
      <c r="B215" t="s">
        <v>276</v>
      </c>
      <c r="C215" t="s">
        <v>84</v>
      </c>
      <c r="D215" t="s">
        <v>55</v>
      </c>
      <c r="E215" t="s">
        <v>56</v>
      </c>
      <c r="F215">
        <v>14</v>
      </c>
      <c r="G215">
        <v>37.958866376576751</v>
      </c>
      <c r="H215">
        <v>9.8264864335603903</v>
      </c>
      <c r="I215">
        <v>1.57</v>
      </c>
      <c r="J215">
        <v>1.5</v>
      </c>
      <c r="K215">
        <v>0.2</v>
      </c>
      <c r="L215">
        <v>0.5</v>
      </c>
      <c r="M215">
        <v>6</v>
      </c>
      <c r="N215">
        <v>190</v>
      </c>
      <c r="Q215">
        <v>0.1984163781214606</v>
      </c>
      <c r="R215">
        <v>1072728.181448289</v>
      </c>
      <c r="S215">
        <v>-2.5425297165391392E-3</v>
      </c>
      <c r="T215">
        <v>610.81355109044614</v>
      </c>
      <c r="U215">
        <v>1182.4989694915489</v>
      </c>
      <c r="V215">
        <v>135.13574139169171</v>
      </c>
      <c r="W215">
        <v>8.7504531170926079</v>
      </c>
      <c r="X215" t="s">
        <v>57</v>
      </c>
      <c r="Z215">
        <v>435.22300000000001</v>
      </c>
      <c r="AA215">
        <v>95.163399999999996</v>
      </c>
      <c r="AB215">
        <v>63.712200000000003</v>
      </c>
      <c r="AC215">
        <v>11.9697337388282</v>
      </c>
      <c r="AD215">
        <v>94.585502327773014</v>
      </c>
      <c r="AE215">
        <v>94.585502327773014</v>
      </c>
      <c r="AF215" t="s">
        <v>58</v>
      </c>
      <c r="AG215" t="b">
        <v>1</v>
      </c>
      <c r="AH215">
        <v>7.9020556673662998</v>
      </c>
      <c r="AI215">
        <v>434.56099999999998</v>
      </c>
      <c r="AJ215">
        <v>91.310100000000006</v>
      </c>
      <c r="AK215">
        <v>62.662199999999999</v>
      </c>
      <c r="AL215">
        <v>11.671400530424339</v>
      </c>
      <c r="AN215">
        <v>91.310100000000006</v>
      </c>
      <c r="AO215" t="s">
        <v>62</v>
      </c>
      <c r="AP215" t="b">
        <v>0</v>
      </c>
      <c r="AQ215">
        <v>7.8234055769038227</v>
      </c>
      <c r="AR215">
        <v>435.22300000000001</v>
      </c>
      <c r="AS215">
        <v>94.585502327773014</v>
      </c>
      <c r="AT215">
        <v>7.9020556673662998</v>
      </c>
      <c r="AU215" s="5">
        <v>70.655370238846444</v>
      </c>
      <c r="AV215" s="5">
        <v>100.9227309837338</v>
      </c>
      <c r="AW215" s="5">
        <v>5.9028355835226263</v>
      </c>
      <c r="AX215" s="5">
        <v>8.4314933970798407</v>
      </c>
      <c r="AY215" t="s">
        <v>59</v>
      </c>
      <c r="AZ215" t="s">
        <v>60</v>
      </c>
      <c r="BA215" s="23">
        <f t="shared" si="3"/>
        <v>0</v>
      </c>
      <c r="BB215" s="23">
        <f>IF(AND(ISNUMBER(H215),Metadata!$H$5&gt;Metadata!$G$5),MAX(Metadata!$G$5-H215,0,H215-Metadata!$H$5)/(Metadata!$H$5-Metadata!$G$5),"Missing input")</f>
        <v>0</v>
      </c>
      <c r="BC215" s="23">
        <f>IF(AND(ISNUMBER(L215),Metadata!$H$8&gt;Metadata!$G$8),MAX(Metadata!$G$8-L215,0,L215-Metadata!$H$8)/(Metadata!$H$8-Metadata!$G$8),"Missing input")</f>
        <v>0</v>
      </c>
    </row>
    <row r="216" spans="1:55" x14ac:dyDescent="0.2">
      <c r="A216" t="s">
        <v>290</v>
      </c>
      <c r="B216" t="s">
        <v>276</v>
      </c>
      <c r="C216" t="s">
        <v>84</v>
      </c>
      <c r="D216" t="s">
        <v>55</v>
      </c>
      <c r="E216" t="s">
        <v>56</v>
      </c>
      <c r="F216">
        <v>15</v>
      </c>
      <c r="G216">
        <v>27.308053040943211</v>
      </c>
      <c r="H216">
        <v>5.2772178758296739</v>
      </c>
      <c r="I216">
        <v>1.57</v>
      </c>
      <c r="J216">
        <v>1.5</v>
      </c>
      <c r="K216">
        <v>0.2</v>
      </c>
      <c r="L216">
        <v>0.5</v>
      </c>
      <c r="M216">
        <v>6</v>
      </c>
      <c r="N216">
        <v>190</v>
      </c>
      <c r="Q216">
        <v>0.1984163781214606</v>
      </c>
      <c r="R216">
        <v>386052.96198531118</v>
      </c>
      <c r="S216">
        <v>-2.0423305626389721E-3</v>
      </c>
      <c r="T216">
        <v>428.52672237905682</v>
      </c>
      <c r="U216">
        <v>1135.8983106646381</v>
      </c>
      <c r="V216">
        <v>94.806796986516986</v>
      </c>
      <c r="W216">
        <v>11.981190661110301</v>
      </c>
      <c r="X216" t="s">
        <v>57</v>
      </c>
      <c r="Z216">
        <v>292.95600000000002</v>
      </c>
      <c r="AA216">
        <v>95.163399999999996</v>
      </c>
      <c r="AB216">
        <v>76.815300000000008</v>
      </c>
      <c r="AC216">
        <v>12.897979157782521</v>
      </c>
      <c r="AE216">
        <v>95.163399999999996</v>
      </c>
      <c r="AF216" t="s">
        <v>62</v>
      </c>
      <c r="AG216" t="b">
        <v>0</v>
      </c>
      <c r="AH216">
        <v>7.3781635739874263</v>
      </c>
      <c r="AI216">
        <v>292.87400000000002</v>
      </c>
      <c r="AJ216">
        <v>91.310100000000006</v>
      </c>
      <c r="AK216">
        <v>75.827100000000002</v>
      </c>
      <c r="AL216">
        <v>12.51658907298658</v>
      </c>
      <c r="AN216">
        <v>91.310100000000006</v>
      </c>
      <c r="AO216" t="s">
        <v>62</v>
      </c>
      <c r="AP216" t="b">
        <v>0</v>
      </c>
      <c r="AQ216">
        <v>7.295126449191045</v>
      </c>
      <c r="AR216">
        <v>292.95600000000002</v>
      </c>
      <c r="AS216">
        <v>95.163399999999996</v>
      </c>
      <c r="AT216">
        <v>7.3781635739874263</v>
      </c>
      <c r="AU216" s="5">
        <v>71.087059799999992</v>
      </c>
      <c r="AV216" s="5">
        <v>101.53934779999999</v>
      </c>
      <c r="AW216" s="5">
        <v>5.511488189768607</v>
      </c>
      <c r="AX216" s="5">
        <v>7.8725005334445832</v>
      </c>
      <c r="AY216" t="s">
        <v>59</v>
      </c>
      <c r="AZ216" t="s">
        <v>60</v>
      </c>
      <c r="BA216" s="23">
        <f t="shared" si="3"/>
        <v>0</v>
      </c>
      <c r="BB216" s="23">
        <f>IF(AND(ISNUMBER(H216),Metadata!$H$5&gt;Metadata!$G$5),MAX(Metadata!$G$5-H216,0,H216-Metadata!$H$5)/(Metadata!$H$5-Metadata!$G$5),"Missing input")</f>
        <v>0</v>
      </c>
      <c r="BC216" s="23">
        <f>IF(AND(ISNUMBER(L216),Metadata!$H$8&gt;Metadata!$G$8),MAX(Metadata!$G$8-L216,0,L216-Metadata!$H$8)/(Metadata!$H$8-Metadata!$G$8),"Missing input")</f>
        <v>0</v>
      </c>
    </row>
    <row r="217" spans="1:55" x14ac:dyDescent="0.2">
      <c r="A217" t="s">
        <v>291</v>
      </c>
      <c r="B217" t="s">
        <v>276</v>
      </c>
      <c r="C217" t="s">
        <v>84</v>
      </c>
      <c r="D217" t="s">
        <v>55</v>
      </c>
      <c r="E217" t="s">
        <v>56</v>
      </c>
      <c r="F217">
        <v>16</v>
      </c>
      <c r="G217">
        <v>31.1252119640606</v>
      </c>
      <c r="H217">
        <v>39.5069074866867</v>
      </c>
      <c r="I217">
        <v>1.57</v>
      </c>
      <c r="J217">
        <v>1.5</v>
      </c>
      <c r="K217">
        <v>0.2</v>
      </c>
      <c r="L217">
        <v>0.5</v>
      </c>
      <c r="M217">
        <v>6</v>
      </c>
      <c r="N217">
        <v>190</v>
      </c>
      <c r="Q217">
        <v>0.1984163781214606</v>
      </c>
      <c r="R217">
        <v>3642703.933702969</v>
      </c>
      <c r="S217">
        <v>-4.5940904319823027E-3</v>
      </c>
      <c r="T217">
        <v>1657.5346780090949</v>
      </c>
      <c r="U217">
        <v>1153.4993251116509</v>
      </c>
      <c r="V217">
        <v>366.71121194891492</v>
      </c>
      <c r="W217">
        <v>3.1455251094759009</v>
      </c>
      <c r="X217" t="s">
        <v>57</v>
      </c>
      <c r="Z217">
        <v>679.48299999999995</v>
      </c>
      <c r="AA217">
        <v>94.938299999999998</v>
      </c>
      <c r="AB217">
        <v>25.7987</v>
      </c>
      <c r="AC217">
        <v>12.29182956934307</v>
      </c>
      <c r="AD217">
        <v>25.821656092514811</v>
      </c>
      <c r="AE217">
        <v>25.821656092514811</v>
      </c>
      <c r="AF217" t="s">
        <v>58</v>
      </c>
      <c r="AG217" t="b">
        <v>1</v>
      </c>
      <c r="AH217">
        <v>2.100717061430494</v>
      </c>
      <c r="AI217">
        <v>688.29</v>
      </c>
      <c r="AJ217">
        <v>90.9298</v>
      </c>
      <c r="AK217">
        <v>28.002400000000002</v>
      </c>
      <c r="AL217">
        <v>11.8161079442679</v>
      </c>
      <c r="AM217">
        <v>29.37843005369589</v>
      </c>
      <c r="AN217">
        <v>29.37843005369589</v>
      </c>
      <c r="AO217" t="s">
        <v>58</v>
      </c>
      <c r="AP217" t="b">
        <v>1</v>
      </c>
      <c r="AQ217">
        <v>2.4863034589953639</v>
      </c>
      <c r="AR217">
        <v>688.29</v>
      </c>
      <c r="AS217">
        <v>29.37843005369589</v>
      </c>
      <c r="AT217">
        <v>2.4863034589953639</v>
      </c>
      <c r="AU217" s="5">
        <v>21.945687250110829</v>
      </c>
      <c r="AV217" s="5">
        <v>31.346784867293515</v>
      </c>
      <c r="AW217" s="5">
        <v>1.8572686838695367</v>
      </c>
      <c r="AX217" s="5">
        <v>2.6528857907480532</v>
      </c>
      <c r="AY217" t="s">
        <v>59</v>
      </c>
      <c r="AZ217" t="s">
        <v>60</v>
      </c>
      <c r="BA217" s="23">
        <f t="shared" si="3"/>
        <v>0</v>
      </c>
      <c r="BB217" s="23">
        <f>IF(AND(ISNUMBER(H217),Metadata!$H$5&gt;Metadata!$G$5),MAX(Metadata!$G$5-H217,0,H217-Metadata!$H$5)/(Metadata!$H$5-Metadata!$G$5),"Missing input")</f>
        <v>0</v>
      </c>
      <c r="BC217" s="23">
        <f>IF(AND(ISNUMBER(L217),Metadata!$H$8&gt;Metadata!$G$8),MAX(Metadata!$G$8-L217,0,L217-Metadata!$H$8)/(Metadata!$H$8-Metadata!$G$8),"Missing input")</f>
        <v>0</v>
      </c>
    </row>
    <row r="218" spans="1:55" x14ac:dyDescent="0.2">
      <c r="A218" t="s">
        <v>292</v>
      </c>
      <c r="B218" t="s">
        <v>276</v>
      </c>
      <c r="C218" t="s">
        <v>84</v>
      </c>
      <c r="D218" t="s">
        <v>55</v>
      </c>
      <c r="E218" t="s">
        <v>56</v>
      </c>
      <c r="F218">
        <v>17</v>
      </c>
      <c r="G218">
        <v>46.390186033042063</v>
      </c>
      <c r="H218">
        <v>16.21387510983789</v>
      </c>
      <c r="I218">
        <v>1.57</v>
      </c>
      <c r="J218">
        <v>1.5</v>
      </c>
      <c r="K218">
        <v>0.2</v>
      </c>
      <c r="L218">
        <v>0.5</v>
      </c>
      <c r="M218">
        <v>6</v>
      </c>
      <c r="N218">
        <v>190</v>
      </c>
      <c r="Q218">
        <v>0.1984163781214606</v>
      </c>
      <c r="R218">
        <v>2210215.3729856689</v>
      </c>
      <c r="S218">
        <v>-3.265997594138737E-3</v>
      </c>
      <c r="T218">
        <v>992.19235058261199</v>
      </c>
      <c r="U218">
        <v>1214.88035315924</v>
      </c>
      <c r="V218">
        <v>219.5115819873036</v>
      </c>
      <c r="W218">
        <v>5.5344704008807541</v>
      </c>
      <c r="X218" t="s">
        <v>57</v>
      </c>
      <c r="Z218">
        <v>642.69399999999996</v>
      </c>
      <c r="AA218">
        <v>95.170400000000001</v>
      </c>
      <c r="AB218">
        <v>50.613599999999998</v>
      </c>
      <c r="AC218">
        <v>12.180878894736839</v>
      </c>
      <c r="AD218">
        <v>65.239576887328752</v>
      </c>
      <c r="AE218">
        <v>65.239576887328752</v>
      </c>
      <c r="AF218" t="s">
        <v>58</v>
      </c>
      <c r="AG218" t="b">
        <v>1</v>
      </c>
      <c r="AH218">
        <v>5.3559006251607766</v>
      </c>
      <c r="AI218">
        <v>640.86300000000006</v>
      </c>
      <c r="AJ218">
        <v>91.303100000000001</v>
      </c>
      <c r="AK218">
        <v>50.383499999999998</v>
      </c>
      <c r="AL218">
        <v>11.85664756756757</v>
      </c>
      <c r="AM218">
        <v>54.174519193083547</v>
      </c>
      <c r="AN218">
        <v>54.174519193083547</v>
      </c>
      <c r="AO218" t="s">
        <v>58</v>
      </c>
      <c r="AP218" t="b">
        <v>1</v>
      </c>
      <c r="AQ218">
        <v>4.5691262124777507</v>
      </c>
      <c r="AR218">
        <v>642.69399999999996</v>
      </c>
      <c r="AS218">
        <v>65.239576887328752</v>
      </c>
      <c r="AT218">
        <v>5.3559006251607766</v>
      </c>
      <c r="AU218" s="5">
        <v>48.733963934834577</v>
      </c>
      <c r="AV218" s="5">
        <v>69.610628538779778</v>
      </c>
      <c r="AW218" s="5">
        <v>4.0008577669951002</v>
      </c>
      <c r="AX218" s="5">
        <v>5.7147459670465484</v>
      </c>
      <c r="AY218" t="s">
        <v>59</v>
      </c>
      <c r="AZ218" t="s">
        <v>60</v>
      </c>
      <c r="BA218" s="23">
        <f t="shared" si="3"/>
        <v>0</v>
      </c>
      <c r="BB218" s="23">
        <f>IF(AND(ISNUMBER(H218),Metadata!$H$5&gt;Metadata!$G$5),MAX(Metadata!$G$5-H218,0,H218-Metadata!$H$5)/(Metadata!$H$5-Metadata!$G$5),"Missing input")</f>
        <v>0</v>
      </c>
      <c r="BC218" s="23">
        <f>IF(AND(ISNUMBER(L218),Metadata!$H$8&gt;Metadata!$G$8),MAX(Metadata!$G$8-L218,0,L218-Metadata!$H$8)/(Metadata!$H$8-Metadata!$G$8),"Missing input")</f>
        <v>0</v>
      </c>
    </row>
    <row r="219" spans="1:55" x14ac:dyDescent="0.2">
      <c r="A219" t="s">
        <v>293</v>
      </c>
      <c r="B219" t="s">
        <v>276</v>
      </c>
      <c r="C219" t="s">
        <v>84</v>
      </c>
      <c r="D219" t="s">
        <v>55</v>
      </c>
      <c r="E219" t="s">
        <v>56</v>
      </c>
      <c r="F219">
        <v>18</v>
      </c>
      <c r="G219">
        <v>54.165408264435399</v>
      </c>
      <c r="H219">
        <v>18.25275816413232</v>
      </c>
      <c r="I219">
        <v>1.57</v>
      </c>
      <c r="J219">
        <v>1.5</v>
      </c>
      <c r="K219">
        <v>0.2</v>
      </c>
      <c r="L219">
        <v>0.5</v>
      </c>
      <c r="M219">
        <v>6</v>
      </c>
      <c r="N219">
        <v>190</v>
      </c>
      <c r="Q219">
        <v>0.1984163781214606</v>
      </c>
      <c r="R219">
        <v>2919725.6187367002</v>
      </c>
      <c r="S219">
        <v>-3.4810082099139901E-3</v>
      </c>
      <c r="T219">
        <v>1250.244632367107</v>
      </c>
      <c r="U219">
        <v>1242.2160716172521</v>
      </c>
      <c r="V219">
        <v>276.6027947714839</v>
      </c>
      <c r="W219">
        <v>4.4909744048085702</v>
      </c>
      <c r="X219" t="s">
        <v>57</v>
      </c>
      <c r="Z219">
        <v>768.56299999999999</v>
      </c>
      <c r="AA219">
        <v>95.163399999999996</v>
      </c>
      <c r="AB219">
        <v>44.910200000000003</v>
      </c>
      <c r="AC219">
        <v>12.38473736631016</v>
      </c>
      <c r="AD219">
        <v>62.507318947963718</v>
      </c>
      <c r="AE219">
        <v>62.507318947963718</v>
      </c>
      <c r="AF219" t="s">
        <v>58</v>
      </c>
      <c r="AG219" t="b">
        <v>1</v>
      </c>
      <c r="AH219">
        <v>5.0471251104606027</v>
      </c>
      <c r="AI219">
        <v>766.73500000000001</v>
      </c>
      <c r="AJ219">
        <v>91.310100000000006</v>
      </c>
      <c r="AK219">
        <v>46.948399999999999</v>
      </c>
      <c r="AL219">
        <v>12.20481477192153</v>
      </c>
      <c r="AM219">
        <v>61.894864589538599</v>
      </c>
      <c r="AN219">
        <v>61.894864589538599</v>
      </c>
      <c r="AO219" t="s">
        <v>58</v>
      </c>
      <c r="AP219" t="b">
        <v>1</v>
      </c>
      <c r="AQ219">
        <v>5.071348131553318</v>
      </c>
      <c r="AR219">
        <v>768.56299999999999</v>
      </c>
      <c r="AS219">
        <v>62.507318947963718</v>
      </c>
      <c r="AT219">
        <v>5.071348131553318</v>
      </c>
      <c r="AU219" s="5">
        <v>46.692967254128895</v>
      </c>
      <c r="AV219" s="5">
        <v>66.695309317477282</v>
      </c>
      <c r="AW219" s="5">
        <v>3.7882970542703287</v>
      </c>
      <c r="AX219" s="5">
        <v>5.4111284563673898</v>
      </c>
      <c r="AY219" t="s">
        <v>59</v>
      </c>
      <c r="AZ219" t="s">
        <v>60</v>
      </c>
      <c r="BA219" s="23">
        <f t="shared" si="3"/>
        <v>0</v>
      </c>
      <c r="BB219" s="23">
        <f>IF(AND(ISNUMBER(H219),Metadata!$H$5&gt;Metadata!$G$5),MAX(Metadata!$G$5-H219,0,H219-Metadata!$H$5)/(Metadata!$H$5-Metadata!$G$5),"Missing input")</f>
        <v>0</v>
      </c>
      <c r="BC219" s="23">
        <f>IF(AND(ISNUMBER(L219),Metadata!$H$8&gt;Metadata!$G$8),MAX(Metadata!$G$8-L219,0,L219-Metadata!$H$8)/(Metadata!$H$8-Metadata!$G$8),"Missing input")</f>
        <v>0</v>
      </c>
    </row>
    <row r="220" spans="1:55" x14ac:dyDescent="0.2">
      <c r="A220" t="s">
        <v>294</v>
      </c>
      <c r="B220" t="s">
        <v>276</v>
      </c>
      <c r="C220" t="s">
        <v>84</v>
      </c>
      <c r="D220" t="s">
        <v>55</v>
      </c>
      <c r="E220" t="s">
        <v>56</v>
      </c>
      <c r="F220">
        <v>19</v>
      </c>
      <c r="G220">
        <v>21.707483118551171</v>
      </c>
      <c r="H220">
        <v>43.497365085878002</v>
      </c>
      <c r="I220">
        <v>1.57</v>
      </c>
      <c r="J220">
        <v>1.5</v>
      </c>
      <c r="K220">
        <v>0.2</v>
      </c>
      <c r="L220">
        <v>0.5</v>
      </c>
      <c r="M220">
        <v>6</v>
      </c>
      <c r="N220">
        <v>190</v>
      </c>
      <c r="Q220">
        <v>0.1984163781214606</v>
      </c>
      <c r="R220">
        <v>2786376.2799094608</v>
      </c>
      <c r="S220">
        <v>-4.5792636702798473E-3</v>
      </c>
      <c r="T220">
        <v>1327.844178866673</v>
      </c>
      <c r="U220">
        <v>1107.6707669709581</v>
      </c>
      <c r="V220">
        <v>293.77083603244972</v>
      </c>
      <c r="W220">
        <v>3.7705266524434911</v>
      </c>
      <c r="X220" t="s">
        <v>57</v>
      </c>
      <c r="Z220">
        <v>541.26800000000003</v>
      </c>
      <c r="AA220">
        <v>88.711100000000002</v>
      </c>
      <c r="AB220">
        <v>25.7987</v>
      </c>
      <c r="AC220">
        <v>12.388134000000001</v>
      </c>
      <c r="AD220">
        <v>25.84065791487134</v>
      </c>
      <c r="AE220">
        <v>25.84065791487134</v>
      </c>
      <c r="AF220" t="s">
        <v>58</v>
      </c>
      <c r="AG220" t="b">
        <v>1</v>
      </c>
      <c r="AH220">
        <v>2.0859201163687229</v>
      </c>
      <c r="AI220">
        <v>542.89</v>
      </c>
      <c r="AJ220">
        <v>90.843400000000003</v>
      </c>
      <c r="AK220">
        <v>26.501899999999999</v>
      </c>
      <c r="AL220">
        <v>11.486220159558149</v>
      </c>
      <c r="AM220">
        <v>27.689918555610991</v>
      </c>
      <c r="AN220">
        <v>27.689918555610991</v>
      </c>
      <c r="AO220" t="s">
        <v>58</v>
      </c>
      <c r="AP220" t="b">
        <v>1</v>
      </c>
      <c r="AQ220">
        <v>2.4107076280066848</v>
      </c>
      <c r="AR220">
        <v>542.89</v>
      </c>
      <c r="AS220">
        <v>27.689918555610991</v>
      </c>
      <c r="AT220">
        <v>2.4107076280066848</v>
      </c>
      <c r="AU220" s="5">
        <v>20.68436916104141</v>
      </c>
      <c r="AV220" s="5">
        <v>29.545143098836924</v>
      </c>
      <c r="AW220" s="5">
        <v>1.8007985981209935</v>
      </c>
      <c r="AX220" s="5">
        <v>2.5722250390831327</v>
      </c>
      <c r="AY220" t="s">
        <v>64</v>
      </c>
      <c r="AZ220" t="s">
        <v>7</v>
      </c>
      <c r="BA220" s="23">
        <f t="shared" si="3"/>
        <v>9.4596678167087334E-2</v>
      </c>
      <c r="BB220" s="23">
        <f>IF(AND(ISNUMBER(H220),Metadata!$H$5&gt;Metadata!$G$5),MAX(Metadata!$G$5-H220,0,H220-Metadata!$H$5)/(Metadata!$H$5-Metadata!$G$5),"Missing input")</f>
        <v>9.4596678167087334E-2</v>
      </c>
      <c r="BC220" s="23">
        <f>IF(AND(ISNUMBER(L220),Metadata!$H$8&gt;Metadata!$G$8),MAX(Metadata!$G$8-L220,0,L220-Metadata!$H$8)/(Metadata!$H$8-Metadata!$G$8),"Missing input")</f>
        <v>0</v>
      </c>
    </row>
    <row r="221" spans="1:55" x14ac:dyDescent="0.2">
      <c r="A221" t="s">
        <v>295</v>
      </c>
      <c r="B221" t="s">
        <v>276</v>
      </c>
      <c r="C221" t="s">
        <v>84</v>
      </c>
      <c r="D221" t="s">
        <v>55</v>
      </c>
      <c r="E221" t="s">
        <v>56</v>
      </c>
      <c r="F221">
        <v>20</v>
      </c>
      <c r="G221">
        <v>53.035991243371583</v>
      </c>
      <c r="H221">
        <v>30.34654288470276</v>
      </c>
      <c r="I221">
        <v>1.57</v>
      </c>
      <c r="J221">
        <v>1.5</v>
      </c>
      <c r="K221">
        <v>0.2</v>
      </c>
      <c r="L221">
        <v>0.5</v>
      </c>
      <c r="M221">
        <v>6</v>
      </c>
      <c r="N221">
        <v>190</v>
      </c>
      <c r="Q221">
        <v>0.1984163781214606</v>
      </c>
      <c r="R221">
        <v>4782098.2730990862</v>
      </c>
      <c r="S221">
        <v>-4.3809834295465292E-3</v>
      </c>
      <c r="T221">
        <v>2064.392118408005</v>
      </c>
      <c r="U221">
        <v>1238.3732021930939</v>
      </c>
      <c r="V221">
        <v>456.72392000177121</v>
      </c>
      <c r="W221">
        <v>2.711426198540885</v>
      </c>
      <c r="X221" t="s">
        <v>57</v>
      </c>
      <c r="Z221">
        <v>966.86400000000003</v>
      </c>
      <c r="AA221">
        <v>95.163399999999996</v>
      </c>
      <c r="AB221">
        <v>34.031300000000002</v>
      </c>
      <c r="AC221">
        <v>13.50757440693431</v>
      </c>
      <c r="AD221">
        <v>37.623837030311108</v>
      </c>
      <c r="AE221">
        <v>37.623837030311108</v>
      </c>
      <c r="AF221" t="s">
        <v>58</v>
      </c>
      <c r="AG221" t="b">
        <v>1</v>
      </c>
      <c r="AH221">
        <v>2.7853881012860739</v>
      </c>
      <c r="AI221">
        <v>962.202</v>
      </c>
      <c r="AJ221">
        <v>91.310100000000006</v>
      </c>
      <c r="AK221">
        <v>32.289299999999997</v>
      </c>
      <c r="AL221">
        <v>12.997289675516219</v>
      </c>
      <c r="AM221">
        <v>37.077842363281981</v>
      </c>
      <c r="AN221">
        <v>37.077842363281981</v>
      </c>
      <c r="AO221" t="s">
        <v>58</v>
      </c>
      <c r="AP221" t="b">
        <v>1</v>
      </c>
      <c r="AQ221">
        <v>2.8527364772924741</v>
      </c>
      <c r="AR221">
        <v>966.86400000000003</v>
      </c>
      <c r="AS221">
        <v>37.623837030311108</v>
      </c>
      <c r="AT221">
        <v>2.8527364772924741</v>
      </c>
      <c r="AU221" s="5">
        <v>28.105006261642398</v>
      </c>
      <c r="AV221" s="5">
        <v>40.144634111341951</v>
      </c>
      <c r="AW221" s="5">
        <v>2.1309941485374782</v>
      </c>
      <c r="AX221" s="5">
        <v>3.0438698212710698</v>
      </c>
      <c r="AY221" t="s">
        <v>59</v>
      </c>
      <c r="AZ221" t="s">
        <v>60</v>
      </c>
      <c r="BA221" s="23">
        <f t="shared" si="3"/>
        <v>0</v>
      </c>
      <c r="BB221" s="23">
        <f>IF(AND(ISNUMBER(H221),Metadata!$H$5&gt;Metadata!$G$5),MAX(Metadata!$G$5-H221,0,H221-Metadata!$H$5)/(Metadata!$H$5-Metadata!$G$5),"Missing input")</f>
        <v>0</v>
      </c>
      <c r="BC221" s="23">
        <f>IF(AND(ISNUMBER(L221),Metadata!$H$8&gt;Metadata!$G$8),MAX(Metadata!$G$8-L221,0,L221-Metadata!$H$8)/(Metadata!$H$8-Metadata!$G$8),"Missing input")</f>
        <v>0</v>
      </c>
    </row>
    <row r="222" spans="1:55" x14ac:dyDescent="0.2">
      <c r="A222" t="s">
        <v>296</v>
      </c>
      <c r="B222" t="s">
        <v>297</v>
      </c>
      <c r="C222" t="s">
        <v>84</v>
      </c>
      <c r="D222" t="s">
        <v>55</v>
      </c>
      <c r="E222" t="s">
        <v>56</v>
      </c>
      <c r="F222">
        <v>1</v>
      </c>
      <c r="G222">
        <v>22.11413992487228</v>
      </c>
      <c r="H222">
        <v>28.832065765515338</v>
      </c>
      <c r="I222">
        <v>1.57</v>
      </c>
      <c r="J222">
        <v>1.5</v>
      </c>
      <c r="K222">
        <v>0.25</v>
      </c>
      <c r="L222">
        <v>0.6</v>
      </c>
      <c r="M222">
        <v>6</v>
      </c>
      <c r="N222">
        <v>150</v>
      </c>
      <c r="Q222">
        <v>0.25132741228718353</v>
      </c>
      <c r="R222">
        <v>1866510.334985178</v>
      </c>
      <c r="S222">
        <v>-4.5127360565994706E-3</v>
      </c>
      <c r="T222">
        <v>931.93139645531812</v>
      </c>
      <c r="U222">
        <v>1284.944767860967</v>
      </c>
      <c r="V222">
        <v>206.1795124901146</v>
      </c>
      <c r="W222">
        <v>6.2321651280583694</v>
      </c>
      <c r="X222" t="s">
        <v>57</v>
      </c>
      <c r="Z222">
        <v>507.78300000000002</v>
      </c>
      <c r="AA222">
        <v>95.163399999999996</v>
      </c>
      <c r="AB222">
        <v>36.549900000000001</v>
      </c>
      <c r="AC222">
        <v>13.75230564965198</v>
      </c>
      <c r="AD222">
        <v>41.552099349635128</v>
      </c>
      <c r="AE222">
        <v>41.552099349635128</v>
      </c>
      <c r="AF222" t="s">
        <v>58</v>
      </c>
      <c r="AG222" t="b">
        <v>1</v>
      </c>
      <c r="AH222">
        <v>3.021464211761951</v>
      </c>
      <c r="AI222">
        <v>504.95400000000001</v>
      </c>
      <c r="AJ222">
        <v>91.310100000000006</v>
      </c>
      <c r="AK222">
        <v>35.6967</v>
      </c>
      <c r="AL222">
        <v>13.199260497342451</v>
      </c>
      <c r="AM222">
        <v>40.006244399510699</v>
      </c>
      <c r="AN222">
        <v>40.006244399510699</v>
      </c>
      <c r="AO222" t="s">
        <v>58</v>
      </c>
      <c r="AP222" t="b">
        <v>1</v>
      </c>
      <c r="AQ222">
        <v>3.0309458933374041</v>
      </c>
      <c r="AR222">
        <v>507.78300000000002</v>
      </c>
      <c r="AS222">
        <v>41.552099349635128</v>
      </c>
      <c r="AT222">
        <v>3.0309458933374041</v>
      </c>
      <c r="AU222" s="5">
        <v>31.039418214177442</v>
      </c>
      <c r="AV222" s="5">
        <v>44.33609000606068</v>
      </c>
      <c r="AW222" s="5">
        <v>2.2641165823230409</v>
      </c>
      <c r="AX222" s="5">
        <v>3.2340192681910098</v>
      </c>
      <c r="AY222" t="s">
        <v>59</v>
      </c>
      <c r="AZ222" t="s">
        <v>60</v>
      </c>
      <c r="BA222" s="23">
        <f t="shared" si="3"/>
        <v>0</v>
      </c>
      <c r="BB222" s="23">
        <f>IF(AND(ISNUMBER(H222),Metadata!$H$5&gt;Metadata!$G$5),MAX(Metadata!$G$5-H222,0,H222-Metadata!$H$5)/(Metadata!$H$5-Metadata!$G$5),"Missing input")</f>
        <v>0</v>
      </c>
      <c r="BC222" s="23">
        <f>IF(AND(ISNUMBER(L222),Metadata!$H$8&gt;Metadata!$G$8),MAX(Metadata!$G$8-L222,0,L222-Metadata!$H$8)/(Metadata!$H$8-Metadata!$G$8),"Missing input")</f>
        <v>0</v>
      </c>
    </row>
    <row r="223" spans="1:55" x14ac:dyDescent="0.2">
      <c r="A223" t="s">
        <v>298</v>
      </c>
      <c r="B223" t="s">
        <v>297</v>
      </c>
      <c r="C223" t="s">
        <v>84</v>
      </c>
      <c r="D223" t="s">
        <v>55</v>
      </c>
      <c r="E223" t="s">
        <v>56</v>
      </c>
      <c r="F223">
        <v>2</v>
      </c>
      <c r="G223">
        <v>39.289372610104301</v>
      </c>
      <c r="H223">
        <v>11.43599740060767</v>
      </c>
      <c r="I223">
        <v>1.57</v>
      </c>
      <c r="J223">
        <v>1.5</v>
      </c>
      <c r="K223">
        <v>0.25</v>
      </c>
      <c r="L223">
        <v>0.6</v>
      </c>
      <c r="M223">
        <v>6</v>
      </c>
      <c r="N223">
        <v>150</v>
      </c>
      <c r="Q223">
        <v>0.25132741228718353</v>
      </c>
      <c r="R223">
        <v>1301660.814121977</v>
      </c>
      <c r="S223">
        <v>-2.779942619443726E-3</v>
      </c>
      <c r="T223">
        <v>682.24591859950192</v>
      </c>
      <c r="U223">
        <v>1362.9419924189581</v>
      </c>
      <c r="V223">
        <v>150.93936252201371</v>
      </c>
      <c r="W223">
        <v>9.0297320039375428</v>
      </c>
      <c r="X223" t="s">
        <v>57</v>
      </c>
      <c r="Z223">
        <v>486.89</v>
      </c>
      <c r="AA223">
        <v>95.134100000000004</v>
      </c>
      <c r="AB223">
        <v>51.296399999999998</v>
      </c>
      <c r="AC223">
        <v>12.32857873746582</v>
      </c>
      <c r="AD223">
        <v>87.646844424333381</v>
      </c>
      <c r="AE223">
        <v>87.646844424333381</v>
      </c>
      <c r="AF223" t="s">
        <v>58</v>
      </c>
      <c r="AG223" t="b">
        <v>1</v>
      </c>
      <c r="AH223">
        <v>7.1092415671548448</v>
      </c>
      <c r="AI223">
        <v>485.71300000000002</v>
      </c>
      <c r="AJ223">
        <v>91.339399999999998</v>
      </c>
      <c r="AK223">
        <v>51.757599999999996</v>
      </c>
      <c r="AL223">
        <v>11.90641612253124</v>
      </c>
      <c r="AM223">
        <v>86.581405876287491</v>
      </c>
      <c r="AN223">
        <v>86.581405876287491</v>
      </c>
      <c r="AO223" t="s">
        <v>58</v>
      </c>
      <c r="AP223" t="b">
        <v>1</v>
      </c>
      <c r="AQ223">
        <v>7.2718276419420791</v>
      </c>
      <c r="AR223">
        <v>486.89</v>
      </c>
      <c r="AS223">
        <v>87.646844424333381</v>
      </c>
      <c r="AT223">
        <v>7.2718276419420791</v>
      </c>
      <c r="AU223" s="5">
        <v>65.47219278497704</v>
      </c>
      <c r="AV223" s="5">
        <v>93.519183000763718</v>
      </c>
      <c r="AW223" s="5">
        <v>5.432055248530733</v>
      </c>
      <c r="AX223" s="5">
        <v>7.7590400939521977</v>
      </c>
      <c r="AY223" t="s">
        <v>59</v>
      </c>
      <c r="AZ223" t="s">
        <v>60</v>
      </c>
      <c r="BA223" s="23">
        <f t="shared" si="3"/>
        <v>0</v>
      </c>
      <c r="BB223" s="23">
        <f>IF(AND(ISNUMBER(H223),Metadata!$H$5&gt;Metadata!$G$5),MAX(Metadata!$G$5-H223,0,H223-Metadata!$H$5)/(Metadata!$H$5-Metadata!$G$5),"Missing input")</f>
        <v>0</v>
      </c>
      <c r="BC223" s="23">
        <f>IF(AND(ISNUMBER(L223),Metadata!$H$8&gt;Metadata!$G$8),MAX(Metadata!$G$8-L223,0,L223-Metadata!$H$8)/(Metadata!$H$8-Metadata!$G$8),"Missing input")</f>
        <v>0</v>
      </c>
    </row>
    <row r="224" spans="1:55" x14ac:dyDescent="0.2">
      <c r="A224" t="s">
        <v>299</v>
      </c>
      <c r="B224" t="s">
        <v>297</v>
      </c>
      <c r="C224" t="s">
        <v>84</v>
      </c>
      <c r="D224" t="s">
        <v>55</v>
      </c>
      <c r="E224" t="s">
        <v>56</v>
      </c>
      <c r="F224">
        <v>3</v>
      </c>
      <c r="G224">
        <v>50.720967279676117</v>
      </c>
      <c r="H224">
        <v>41.572102032205443</v>
      </c>
      <c r="I224">
        <v>1.57</v>
      </c>
      <c r="J224">
        <v>1.5</v>
      </c>
      <c r="K224">
        <v>0.25</v>
      </c>
      <c r="L224">
        <v>0.6</v>
      </c>
      <c r="M224">
        <v>6</v>
      </c>
      <c r="N224">
        <v>150</v>
      </c>
      <c r="Q224">
        <v>0.25132741228718353</v>
      </c>
      <c r="R224">
        <v>6279453.0057685468</v>
      </c>
      <c r="S224">
        <v>-4.8803016762185968E-3</v>
      </c>
      <c r="T224">
        <v>2795.5189136654449</v>
      </c>
      <c r="U224">
        <v>1405.4760776482119</v>
      </c>
      <c r="V224">
        <v>618.47763576669149</v>
      </c>
      <c r="W224">
        <v>2.2724767984632521</v>
      </c>
      <c r="X224" t="s">
        <v>57</v>
      </c>
      <c r="Z224">
        <v>999.45799999999997</v>
      </c>
      <c r="AA224">
        <v>95.163399999999996</v>
      </c>
      <c r="AB224">
        <v>26.727599999999999</v>
      </c>
      <c r="AC224">
        <v>12.989057543265609</v>
      </c>
      <c r="AD224">
        <v>27.554715216825318</v>
      </c>
      <c r="AE224">
        <v>27.554715216825318</v>
      </c>
      <c r="AF224" t="s">
        <v>58</v>
      </c>
      <c r="AG224" t="b">
        <v>1</v>
      </c>
      <c r="AH224">
        <v>2.1213791012198189</v>
      </c>
      <c r="AI224">
        <v>1006.62</v>
      </c>
      <c r="AJ224">
        <v>91.310100000000006</v>
      </c>
      <c r="AK224">
        <v>27.573699999999999</v>
      </c>
      <c r="AL224">
        <v>12.17714934251722</v>
      </c>
      <c r="AM224">
        <v>28.494790307524969</v>
      </c>
      <c r="AN224">
        <v>28.494790307524969</v>
      </c>
      <c r="AO224" t="s">
        <v>58</v>
      </c>
      <c r="AP224" t="b">
        <v>1</v>
      </c>
      <c r="AQ224">
        <v>2.3400214209440429</v>
      </c>
      <c r="AR224">
        <v>1006.62</v>
      </c>
      <c r="AS224">
        <v>28.494790307524969</v>
      </c>
      <c r="AT224">
        <v>2.3400214209440429</v>
      </c>
      <c r="AU224" s="5">
        <v>21.285608359721152</v>
      </c>
      <c r="AV224" s="5">
        <v>30.403941258129141</v>
      </c>
      <c r="AW224" s="5">
        <v>1.7479960014452001</v>
      </c>
      <c r="AX224" s="5">
        <v>2.4968028561472937</v>
      </c>
      <c r="AY224" t="s">
        <v>64</v>
      </c>
      <c r="AZ224" t="s">
        <v>7</v>
      </c>
      <c r="BA224" s="23">
        <f t="shared" si="3"/>
        <v>4.6063612035701466E-2</v>
      </c>
      <c r="BB224" s="23">
        <f>IF(AND(ISNUMBER(H224),Metadata!$H$5&gt;Metadata!$G$5),MAX(Metadata!$G$5-H224,0,H224-Metadata!$H$5)/(Metadata!$H$5-Metadata!$G$5),"Missing input")</f>
        <v>4.6063612035701466E-2</v>
      </c>
      <c r="BC224" s="23">
        <f>IF(AND(ISNUMBER(L224),Metadata!$H$8&gt;Metadata!$G$8),MAX(Metadata!$G$8-L224,0,L224-Metadata!$H$8)/(Metadata!$H$8-Metadata!$G$8),"Missing input")</f>
        <v>0</v>
      </c>
    </row>
    <row r="225" spans="1:55" x14ac:dyDescent="0.2">
      <c r="A225" t="s">
        <v>300</v>
      </c>
      <c r="B225" t="s">
        <v>297</v>
      </c>
      <c r="C225" t="s">
        <v>84</v>
      </c>
      <c r="D225" t="s">
        <v>55</v>
      </c>
      <c r="E225" t="s">
        <v>56</v>
      </c>
      <c r="F225">
        <v>4</v>
      </c>
      <c r="G225">
        <v>40.065365059576777</v>
      </c>
      <c r="H225">
        <v>25.23064360495534</v>
      </c>
      <c r="I225">
        <v>1.57</v>
      </c>
      <c r="J225">
        <v>1.5</v>
      </c>
      <c r="K225">
        <v>0.25</v>
      </c>
      <c r="L225">
        <v>0.6</v>
      </c>
      <c r="M225">
        <v>6</v>
      </c>
      <c r="N225">
        <v>150</v>
      </c>
      <c r="Q225">
        <v>0.25132741228718353</v>
      </c>
      <c r="R225">
        <v>2986346.165161836</v>
      </c>
      <c r="S225">
        <v>-4.262037986643462E-3</v>
      </c>
      <c r="T225">
        <v>1323.2635029237761</v>
      </c>
      <c r="U225">
        <v>1366.0108148348579</v>
      </c>
      <c r="V225">
        <v>292.75741215127789</v>
      </c>
      <c r="W225">
        <v>4.6660161558232121</v>
      </c>
      <c r="X225" t="s">
        <v>57</v>
      </c>
      <c r="Z225">
        <v>726.25900000000001</v>
      </c>
      <c r="AA225">
        <v>95.015600000000006</v>
      </c>
      <c r="AB225">
        <v>37.809100000000001</v>
      </c>
      <c r="AC225">
        <v>13.26415108624632</v>
      </c>
      <c r="AD225">
        <v>46.478261875575313</v>
      </c>
      <c r="AE225">
        <v>46.478261875575313</v>
      </c>
      <c r="AF225" t="s">
        <v>58</v>
      </c>
      <c r="AG225" t="b">
        <v>1</v>
      </c>
      <c r="AH225">
        <v>3.5040509998237961</v>
      </c>
      <c r="AI225">
        <v>726.29499999999996</v>
      </c>
      <c r="AJ225">
        <v>90.852500000000006</v>
      </c>
      <c r="AK225">
        <v>39.358900000000013</v>
      </c>
      <c r="AL225">
        <v>13.0150497090663</v>
      </c>
      <c r="AM225">
        <v>42.816109711286103</v>
      </c>
      <c r="AN225">
        <v>42.816109711286103</v>
      </c>
      <c r="AO225" t="s">
        <v>58</v>
      </c>
      <c r="AP225" t="b">
        <v>1</v>
      </c>
      <c r="AQ225">
        <v>3.2897384695703722</v>
      </c>
      <c r="AR225">
        <v>726.29499999999996</v>
      </c>
      <c r="AS225">
        <v>46.478261875575313</v>
      </c>
      <c r="AT225">
        <v>3.5040509998237961</v>
      </c>
      <c r="AU225" s="5">
        <v>34.719261621054756</v>
      </c>
      <c r="AV225" s="5">
        <v>49.592305421238855</v>
      </c>
      <c r="AW225" s="5">
        <v>2.6175260968683758</v>
      </c>
      <c r="AX225" s="5">
        <v>3.7388224168119901</v>
      </c>
      <c r="AY225" t="s">
        <v>59</v>
      </c>
      <c r="AZ225" t="s">
        <v>60</v>
      </c>
      <c r="BA225" s="23">
        <f t="shared" si="3"/>
        <v>0</v>
      </c>
      <c r="BB225" s="23">
        <f>IF(AND(ISNUMBER(H225),Metadata!$H$5&gt;Metadata!$G$5),MAX(Metadata!$G$5-H225,0,H225-Metadata!$H$5)/(Metadata!$H$5-Metadata!$G$5),"Missing input")</f>
        <v>0</v>
      </c>
      <c r="BC225" s="23">
        <f>IF(AND(ISNUMBER(L225),Metadata!$H$8&gt;Metadata!$G$8),MAX(Metadata!$G$8-L225,0,L225-Metadata!$H$8)/(Metadata!$H$8-Metadata!$G$8),"Missing input")</f>
        <v>0</v>
      </c>
    </row>
    <row r="226" spans="1:55" x14ac:dyDescent="0.2">
      <c r="A226" t="s">
        <v>301</v>
      </c>
      <c r="B226" t="s">
        <v>297</v>
      </c>
      <c r="C226" t="s">
        <v>84</v>
      </c>
      <c r="D226" t="s">
        <v>55</v>
      </c>
      <c r="E226" t="s">
        <v>56</v>
      </c>
      <c r="F226">
        <v>5</v>
      </c>
      <c r="G226">
        <v>44.691650234033148</v>
      </c>
      <c r="H226">
        <v>35.278860063057749</v>
      </c>
      <c r="I226">
        <v>1.57</v>
      </c>
      <c r="J226">
        <v>1.5</v>
      </c>
      <c r="K226">
        <v>0.25</v>
      </c>
      <c r="L226">
        <v>0.6</v>
      </c>
      <c r="M226">
        <v>6</v>
      </c>
      <c r="N226">
        <v>150</v>
      </c>
      <c r="Q226">
        <v>0.25132741228718353</v>
      </c>
      <c r="R226">
        <v>4683732.748780732</v>
      </c>
      <c r="S226">
        <v>-4.7938797140481019E-3</v>
      </c>
      <c r="T226">
        <v>2061.9786008310161</v>
      </c>
      <c r="U226">
        <v>1383.720139145734</v>
      </c>
      <c r="V226">
        <v>456.18995593606547</v>
      </c>
      <c r="W226">
        <v>3.0332104447728381</v>
      </c>
      <c r="X226" t="s">
        <v>57</v>
      </c>
      <c r="Z226">
        <v>884.44899999999996</v>
      </c>
      <c r="AA226">
        <v>95.163399999999996</v>
      </c>
      <c r="AB226">
        <v>30.757200000000001</v>
      </c>
      <c r="AC226">
        <v>13.306691433308769</v>
      </c>
      <c r="AD226">
        <v>32.608435441760882</v>
      </c>
      <c r="AE226">
        <v>32.608435441760882</v>
      </c>
      <c r="AF226" t="s">
        <v>58</v>
      </c>
      <c r="AG226" t="b">
        <v>1</v>
      </c>
      <c r="AH226">
        <v>2.450529164607874</v>
      </c>
      <c r="AI226">
        <v>888.08199999999999</v>
      </c>
      <c r="AJ226">
        <v>91.310100000000006</v>
      </c>
      <c r="AK226">
        <v>31.431899999999999</v>
      </c>
      <c r="AL226">
        <v>12.785954768225441</v>
      </c>
      <c r="AM226">
        <v>32.292219318857619</v>
      </c>
      <c r="AN226">
        <v>32.292219318857619</v>
      </c>
      <c r="AO226" t="s">
        <v>58</v>
      </c>
      <c r="AP226" t="b">
        <v>1</v>
      </c>
      <c r="AQ226">
        <v>2.525600935106346</v>
      </c>
      <c r="AR226">
        <v>888.08199999999999</v>
      </c>
      <c r="AS226">
        <v>32.608435441760882</v>
      </c>
      <c r="AT226">
        <v>2.525600935106346</v>
      </c>
      <c r="AU226" s="5">
        <v>24.35850127499538</v>
      </c>
      <c r="AV226" s="5">
        <v>34.79320061635886</v>
      </c>
      <c r="AW226" s="5">
        <v>1.8866238985244403</v>
      </c>
      <c r="AX226" s="5">
        <v>2.6948161977584708</v>
      </c>
      <c r="AY226" t="s">
        <v>59</v>
      </c>
      <c r="AZ226" t="s">
        <v>60</v>
      </c>
      <c r="BA226" s="23">
        <f t="shared" si="3"/>
        <v>0</v>
      </c>
      <c r="BB226" s="23">
        <f>IF(AND(ISNUMBER(H226),Metadata!$H$5&gt;Metadata!$G$5),MAX(Metadata!$G$5-H226,0,H226-Metadata!$H$5)/(Metadata!$H$5-Metadata!$G$5),"Missing input")</f>
        <v>0</v>
      </c>
      <c r="BC226" s="23">
        <f>IF(AND(ISNUMBER(L226),Metadata!$H$8&gt;Metadata!$G$8),MAX(Metadata!$G$8-L226,0,L226-Metadata!$H$8)/(Metadata!$H$8-Metadata!$G$8),"Missing input")</f>
        <v>0</v>
      </c>
    </row>
    <row r="227" spans="1:55" x14ac:dyDescent="0.2">
      <c r="A227" t="s">
        <v>302</v>
      </c>
      <c r="B227" t="s">
        <v>297</v>
      </c>
      <c r="C227" t="s">
        <v>84</v>
      </c>
      <c r="D227" t="s">
        <v>55</v>
      </c>
      <c r="E227" t="s">
        <v>56</v>
      </c>
      <c r="F227">
        <v>6</v>
      </c>
      <c r="G227">
        <v>33.086500490231572</v>
      </c>
      <c r="H227">
        <v>19.79580616436397</v>
      </c>
      <c r="I227">
        <v>1.57</v>
      </c>
      <c r="J227">
        <v>1.5</v>
      </c>
      <c r="K227">
        <v>0.25</v>
      </c>
      <c r="L227">
        <v>0.6</v>
      </c>
      <c r="M227">
        <v>6</v>
      </c>
      <c r="N227">
        <v>150</v>
      </c>
      <c r="Q227">
        <v>0.25132741228718353</v>
      </c>
      <c r="R227">
        <v>1918643.176085273</v>
      </c>
      <c r="S227">
        <v>-3.7581123018913302E-3</v>
      </c>
      <c r="T227">
        <v>915.0391797947683</v>
      </c>
      <c r="U227">
        <v>1337.2326323959139</v>
      </c>
      <c r="V227">
        <v>202.44229641477179</v>
      </c>
      <c r="W227">
        <v>6.6055002145210766</v>
      </c>
      <c r="X227" t="s">
        <v>57</v>
      </c>
      <c r="Z227">
        <v>568.404</v>
      </c>
      <c r="AA227">
        <v>95.06280000000001</v>
      </c>
      <c r="AB227">
        <v>44.910200000000003</v>
      </c>
      <c r="AC227">
        <v>13.011369604612851</v>
      </c>
      <c r="AD227">
        <v>44.915374934493883</v>
      </c>
      <c r="AE227">
        <v>44.915374934493883</v>
      </c>
      <c r="AF227" t="s">
        <v>58</v>
      </c>
      <c r="AG227" t="b">
        <v>1</v>
      </c>
      <c r="AH227">
        <v>3.45200976525717</v>
      </c>
      <c r="AI227">
        <v>565.779</v>
      </c>
      <c r="AJ227">
        <v>91.410699999999991</v>
      </c>
      <c r="AK227">
        <v>39.358900000000013</v>
      </c>
      <c r="AL227">
        <v>12.571348495333121</v>
      </c>
      <c r="AM227">
        <v>55.171618743718597</v>
      </c>
      <c r="AN227">
        <v>55.171618743718597</v>
      </c>
      <c r="AO227" t="s">
        <v>58</v>
      </c>
      <c r="AP227" t="b">
        <v>1</v>
      </c>
      <c r="AQ227">
        <v>4.3886794455026088</v>
      </c>
      <c r="AR227">
        <v>568.404</v>
      </c>
      <c r="AS227">
        <v>55.171618743718597</v>
      </c>
      <c r="AT227">
        <v>4.3886794455026088</v>
      </c>
      <c r="AU227" s="5">
        <v>41.213199201557792</v>
      </c>
      <c r="AV227" s="5">
        <v>58.86811719954774</v>
      </c>
      <c r="AW227" s="5">
        <v>3.2783435457904488</v>
      </c>
      <c r="AX227" s="5">
        <v>4.6827209683512834</v>
      </c>
      <c r="AY227" t="s">
        <v>59</v>
      </c>
      <c r="AZ227" t="s">
        <v>60</v>
      </c>
      <c r="BA227" s="23">
        <f t="shared" si="3"/>
        <v>0</v>
      </c>
      <c r="BB227" s="23">
        <f>IF(AND(ISNUMBER(H227),Metadata!$H$5&gt;Metadata!$G$5),MAX(Metadata!$G$5-H227,0,H227-Metadata!$H$5)/(Metadata!$H$5-Metadata!$G$5),"Missing input")</f>
        <v>0</v>
      </c>
      <c r="BC227" s="23">
        <f>IF(AND(ISNUMBER(L227),Metadata!$H$8&gt;Metadata!$G$8),MAX(Metadata!$G$8-L227,0,L227-Metadata!$H$8)/(Metadata!$H$8-Metadata!$G$8),"Missing input")</f>
        <v>0</v>
      </c>
    </row>
    <row r="228" spans="1:55" x14ac:dyDescent="0.2">
      <c r="A228" t="s">
        <v>303</v>
      </c>
      <c r="B228" t="s">
        <v>297</v>
      </c>
      <c r="C228" t="s">
        <v>84</v>
      </c>
      <c r="D228" t="s">
        <v>55</v>
      </c>
      <c r="E228" t="s">
        <v>56</v>
      </c>
      <c r="F228">
        <v>7</v>
      </c>
      <c r="G228">
        <v>42.943727860216583</v>
      </c>
      <c r="H228">
        <v>31.604415760045629</v>
      </c>
      <c r="I228">
        <v>1.57</v>
      </c>
      <c r="J228">
        <v>1.5</v>
      </c>
      <c r="K228">
        <v>0.25</v>
      </c>
      <c r="L228">
        <v>0.6</v>
      </c>
      <c r="M228">
        <v>6</v>
      </c>
      <c r="N228">
        <v>150</v>
      </c>
      <c r="Q228">
        <v>0.25132741228718353</v>
      </c>
      <c r="R228">
        <v>4025355.613741619</v>
      </c>
      <c r="S228">
        <v>-4.6592414248312723E-3</v>
      </c>
      <c r="T228">
        <v>1767.125197942283</v>
      </c>
      <c r="U228">
        <v>1377.1420537111189</v>
      </c>
      <c r="V228">
        <v>390.95690219962017</v>
      </c>
      <c r="W228">
        <v>3.522490704123594</v>
      </c>
      <c r="X228" t="s">
        <v>57</v>
      </c>
      <c r="Z228">
        <v>833.76</v>
      </c>
      <c r="AA228">
        <v>95.163399999999996</v>
      </c>
      <c r="AB228">
        <v>33.5276</v>
      </c>
      <c r="AC228">
        <v>13.447147484362249</v>
      </c>
      <c r="AD228">
        <v>37.13951013785352</v>
      </c>
      <c r="AE228">
        <v>37.13951013785352</v>
      </c>
      <c r="AF228" t="s">
        <v>58</v>
      </c>
      <c r="AG228" t="b">
        <v>1</v>
      </c>
      <c r="AH228">
        <v>2.761887618250876</v>
      </c>
      <c r="AI228">
        <v>830.995</v>
      </c>
      <c r="AJ228">
        <v>91.310100000000006</v>
      </c>
      <c r="AK228">
        <v>32.289299999999997</v>
      </c>
      <c r="AL228">
        <v>12.87034158680633</v>
      </c>
      <c r="AM228">
        <v>36.82681992093864</v>
      </c>
      <c r="AN228">
        <v>36.82681992093864</v>
      </c>
      <c r="AO228" t="s">
        <v>58</v>
      </c>
      <c r="AP228" t="b">
        <v>1</v>
      </c>
      <c r="AQ228">
        <v>2.8613708247410168</v>
      </c>
      <c r="AR228">
        <v>833.76</v>
      </c>
      <c r="AS228">
        <v>37.13951013785352</v>
      </c>
      <c r="AT228">
        <v>2.8613708247410168</v>
      </c>
      <c r="AU228" s="5">
        <v>27.743214072976578</v>
      </c>
      <c r="AV228" s="5">
        <v>39.627857317089706</v>
      </c>
      <c r="AW228" s="5">
        <v>2.1374440060815396</v>
      </c>
      <c r="AX228" s="5">
        <v>3.0530826699986648</v>
      </c>
      <c r="AY228" t="s">
        <v>59</v>
      </c>
      <c r="AZ228" t="s">
        <v>60</v>
      </c>
      <c r="BA228" s="23">
        <f t="shared" si="3"/>
        <v>0</v>
      </c>
      <c r="BB228" s="23">
        <f>IF(AND(ISNUMBER(H228),Metadata!$H$5&gt;Metadata!$G$5),MAX(Metadata!$G$5-H228,0,H228-Metadata!$H$5)/(Metadata!$H$5-Metadata!$G$5),"Missing input")</f>
        <v>0</v>
      </c>
      <c r="BC228" s="23">
        <f>IF(AND(ISNUMBER(L228),Metadata!$H$8&gt;Metadata!$G$8),MAX(Metadata!$G$8-L228,0,L228-Metadata!$H$8)/(Metadata!$H$8-Metadata!$G$8),"Missing input")</f>
        <v>0</v>
      </c>
    </row>
    <row r="229" spans="1:55" x14ac:dyDescent="0.2">
      <c r="A229" t="s">
        <v>304</v>
      </c>
      <c r="B229" t="s">
        <v>297</v>
      </c>
      <c r="C229" t="s">
        <v>84</v>
      </c>
      <c r="D229" t="s">
        <v>55</v>
      </c>
      <c r="E229" t="s">
        <v>56</v>
      </c>
      <c r="F229">
        <v>8</v>
      </c>
      <c r="G229">
        <v>29.155454969686971</v>
      </c>
      <c r="H229">
        <v>7.3398505058277053</v>
      </c>
      <c r="I229">
        <v>1.57</v>
      </c>
      <c r="J229">
        <v>1.5</v>
      </c>
      <c r="K229">
        <v>0.25</v>
      </c>
      <c r="L229">
        <v>0.6</v>
      </c>
      <c r="M229">
        <v>6</v>
      </c>
      <c r="N229">
        <v>150</v>
      </c>
      <c r="Q229">
        <v>0.25132741228718353</v>
      </c>
      <c r="R229">
        <v>595711.36772068124</v>
      </c>
      <c r="S229">
        <v>-2.2883755157477679E-3</v>
      </c>
      <c r="T229">
        <v>480.50831710260849</v>
      </c>
      <c r="U229">
        <v>1319.6704360910981</v>
      </c>
      <c r="V229">
        <v>106.3071498014621</v>
      </c>
      <c r="W229">
        <v>12.413750519656469</v>
      </c>
      <c r="X229" t="s">
        <v>57</v>
      </c>
      <c r="Z229">
        <v>346.13799999999998</v>
      </c>
      <c r="AA229">
        <v>95.163399999999996</v>
      </c>
      <c r="AB229">
        <v>65.006200000000007</v>
      </c>
      <c r="AC229">
        <v>13.08635322580645</v>
      </c>
      <c r="AE229">
        <v>95.163399999999996</v>
      </c>
      <c r="AF229" t="s">
        <v>62</v>
      </c>
      <c r="AG229" t="b">
        <v>0</v>
      </c>
      <c r="AH229">
        <v>7.2719571570433059</v>
      </c>
      <c r="AI229">
        <v>345.53300000000002</v>
      </c>
      <c r="AJ229">
        <v>91.310100000000006</v>
      </c>
      <c r="AK229">
        <v>64.811499999999995</v>
      </c>
      <c r="AL229">
        <v>12.731579331337331</v>
      </c>
      <c r="AN229">
        <v>91.310100000000006</v>
      </c>
      <c r="AO229" t="s">
        <v>62</v>
      </c>
      <c r="AP229" t="b">
        <v>0</v>
      </c>
      <c r="AQ229">
        <v>7.1719381880023816</v>
      </c>
      <c r="AR229">
        <v>346.13799999999998</v>
      </c>
      <c r="AS229">
        <v>95.163399999999996</v>
      </c>
      <c r="AT229">
        <v>7.2719571570433059</v>
      </c>
      <c r="AU229" s="5">
        <v>71.087059799999992</v>
      </c>
      <c r="AV229" s="5">
        <v>101.53934779999999</v>
      </c>
      <c r="AW229" s="5">
        <v>5.4321519963113492</v>
      </c>
      <c r="AX229" s="5">
        <v>7.7591782865652075</v>
      </c>
      <c r="AY229" t="s">
        <v>59</v>
      </c>
      <c r="AZ229" t="s">
        <v>60</v>
      </c>
      <c r="BA229" s="23">
        <f t="shared" si="3"/>
        <v>0</v>
      </c>
      <c r="BB229" s="23">
        <f>IF(AND(ISNUMBER(H229),Metadata!$H$5&gt;Metadata!$G$5),MAX(Metadata!$G$5-H229,0,H229-Metadata!$H$5)/(Metadata!$H$5-Metadata!$G$5),"Missing input")</f>
        <v>0</v>
      </c>
      <c r="BC229" s="23">
        <f>IF(AND(ISNUMBER(L229),Metadata!$H$8&gt;Metadata!$G$8),MAX(Metadata!$G$8-L229,0,L229-Metadata!$H$8)/(Metadata!$H$8-Metadata!$G$8),"Missing input")</f>
        <v>0</v>
      </c>
    </row>
    <row r="230" spans="1:55" x14ac:dyDescent="0.2">
      <c r="A230" t="s">
        <v>305</v>
      </c>
      <c r="B230" t="s">
        <v>297</v>
      </c>
      <c r="C230" t="s">
        <v>84</v>
      </c>
      <c r="D230" t="s">
        <v>55</v>
      </c>
      <c r="E230" t="s">
        <v>56</v>
      </c>
      <c r="F230">
        <v>9</v>
      </c>
      <c r="G230">
        <v>59.748609235827082</v>
      </c>
      <c r="H230">
        <v>37.783512331141722</v>
      </c>
      <c r="I230">
        <v>1.57</v>
      </c>
      <c r="J230">
        <v>1.5</v>
      </c>
      <c r="K230">
        <v>0.25</v>
      </c>
      <c r="L230">
        <v>0.6</v>
      </c>
      <c r="M230">
        <v>6</v>
      </c>
      <c r="N230">
        <v>150</v>
      </c>
      <c r="Q230">
        <v>0.25132741228718353</v>
      </c>
      <c r="R230">
        <v>6726258.2664913209</v>
      </c>
      <c r="S230">
        <v>-4.8490893770602251E-3</v>
      </c>
      <c r="T230">
        <v>2958.9793454838732</v>
      </c>
      <c r="U230">
        <v>1435.759986853175</v>
      </c>
      <c r="V230">
        <v>654.64144811590108</v>
      </c>
      <c r="W230">
        <v>2.1932005542658231</v>
      </c>
      <c r="X230" t="s">
        <v>57</v>
      </c>
      <c r="Z230">
        <v>1131.51</v>
      </c>
      <c r="AA230">
        <v>94.924300000000002</v>
      </c>
      <c r="AB230">
        <v>29.246099999999998</v>
      </c>
      <c r="AC230">
        <v>13.75434121924941</v>
      </c>
      <c r="AD230">
        <v>30.0660479755152</v>
      </c>
      <c r="AE230">
        <v>30.0660479755152</v>
      </c>
      <c r="AF230" t="s">
        <v>58</v>
      </c>
      <c r="AG230" t="b">
        <v>1</v>
      </c>
      <c r="AH230">
        <v>2.1859315176387581</v>
      </c>
      <c r="AI230">
        <v>1134.96</v>
      </c>
      <c r="AJ230">
        <v>90.94380000000001</v>
      </c>
      <c r="AK230">
        <v>29.9315</v>
      </c>
      <c r="AL230">
        <v>12.97950083184789</v>
      </c>
      <c r="AM230">
        <v>31.06156045775802</v>
      </c>
      <c r="AN230">
        <v>31.06156045775802</v>
      </c>
      <c r="AO230" t="s">
        <v>58</v>
      </c>
      <c r="AP230" t="b">
        <v>1</v>
      </c>
      <c r="AQ230">
        <v>2.3931244244418131</v>
      </c>
      <c r="AR230">
        <v>1134.96</v>
      </c>
      <c r="AS230">
        <v>31.06156045775802</v>
      </c>
      <c r="AT230">
        <v>2.3931244244418131</v>
      </c>
      <c r="AU230" s="5">
        <v>23.202985661945242</v>
      </c>
      <c r="AV230" s="5">
        <v>33.142685008427804</v>
      </c>
      <c r="AW230" s="5">
        <v>1.7876639450580343</v>
      </c>
      <c r="AX230" s="5">
        <v>2.5534637608794144</v>
      </c>
      <c r="AY230" t="s">
        <v>59</v>
      </c>
      <c r="AZ230" t="s">
        <v>60</v>
      </c>
      <c r="BA230" s="23">
        <f t="shared" si="3"/>
        <v>0</v>
      </c>
      <c r="BB230" s="23">
        <f>IF(AND(ISNUMBER(H230),Metadata!$H$5&gt;Metadata!$G$5),MAX(Metadata!$G$5-H230,0,H230-Metadata!$H$5)/(Metadata!$H$5-Metadata!$G$5),"Missing input")</f>
        <v>0</v>
      </c>
      <c r="BC230" s="23">
        <f>IF(AND(ISNUMBER(L230),Metadata!$H$8&gt;Metadata!$G$8),MAX(Metadata!$G$8-L230,0,L230-Metadata!$H$8)/(Metadata!$H$8-Metadata!$G$8),"Missing input")</f>
        <v>0</v>
      </c>
    </row>
    <row r="231" spans="1:55" x14ac:dyDescent="0.2">
      <c r="A231" t="s">
        <v>306</v>
      </c>
      <c r="B231" t="s">
        <v>297</v>
      </c>
      <c r="C231" t="s">
        <v>84</v>
      </c>
      <c r="D231" t="s">
        <v>55</v>
      </c>
      <c r="E231" t="s">
        <v>56</v>
      </c>
      <c r="F231">
        <v>10</v>
      </c>
      <c r="G231">
        <v>34.746337553007109</v>
      </c>
      <c r="H231">
        <v>23.7414613202046</v>
      </c>
      <c r="I231">
        <v>1.57</v>
      </c>
      <c r="J231">
        <v>1.5</v>
      </c>
      <c r="K231">
        <v>0.25</v>
      </c>
      <c r="L231">
        <v>0.6</v>
      </c>
      <c r="M231">
        <v>6</v>
      </c>
      <c r="N231">
        <v>150</v>
      </c>
      <c r="Q231">
        <v>0.25132741228718353</v>
      </c>
      <c r="R231">
        <v>2428507.8121004719</v>
      </c>
      <c r="S231">
        <v>-4.1384083642390978E-3</v>
      </c>
      <c r="T231">
        <v>1111.217336052197</v>
      </c>
      <c r="U231">
        <v>1344.3328797206791</v>
      </c>
      <c r="V231">
        <v>245.84454337438001</v>
      </c>
      <c r="W231">
        <v>5.4682233791680526</v>
      </c>
      <c r="X231" t="s">
        <v>57</v>
      </c>
      <c r="Z231">
        <v>637.53</v>
      </c>
      <c r="AA231">
        <v>95.163399999999996</v>
      </c>
      <c r="AB231">
        <v>37.809100000000001</v>
      </c>
      <c r="AC231">
        <v>13.171082992565051</v>
      </c>
      <c r="AD231">
        <v>49.742663992876103</v>
      </c>
      <c r="AE231">
        <v>49.742663992876103</v>
      </c>
      <c r="AF231" t="s">
        <v>58</v>
      </c>
      <c r="AG231" t="b">
        <v>1</v>
      </c>
      <c r="AH231">
        <v>3.7766570919760611</v>
      </c>
      <c r="AI231">
        <v>637.26300000000003</v>
      </c>
      <c r="AJ231">
        <v>91.310100000000006</v>
      </c>
      <c r="AK231">
        <v>39.358900000000013</v>
      </c>
      <c r="AL231">
        <v>12.90367785714286</v>
      </c>
      <c r="AM231">
        <v>49.500038417154087</v>
      </c>
      <c r="AN231">
        <v>49.500038417154087</v>
      </c>
      <c r="AO231" t="s">
        <v>58</v>
      </c>
      <c r="AP231" t="b">
        <v>1</v>
      </c>
      <c r="AQ231">
        <v>3.8361185830250122</v>
      </c>
      <c r="AR231">
        <v>637.53</v>
      </c>
      <c r="AS231">
        <v>49.742663992876103</v>
      </c>
      <c r="AT231">
        <v>3.8361185830250122</v>
      </c>
      <c r="AU231" s="5">
        <v>37.157770002678447</v>
      </c>
      <c r="AV231" s="5">
        <v>53.0754224803988</v>
      </c>
      <c r="AW231" s="5">
        <v>2.865580581519684</v>
      </c>
      <c r="AX231" s="5">
        <v>4.093138528087688</v>
      </c>
      <c r="AY231" t="s">
        <v>59</v>
      </c>
      <c r="AZ231" t="s">
        <v>60</v>
      </c>
      <c r="BA231" s="23">
        <f t="shared" si="3"/>
        <v>0</v>
      </c>
      <c r="BB231" s="23">
        <f>IF(AND(ISNUMBER(H231),Metadata!$H$5&gt;Metadata!$G$5),MAX(Metadata!$G$5-H231,0,H231-Metadata!$H$5)/(Metadata!$H$5-Metadata!$G$5),"Missing input")</f>
        <v>0</v>
      </c>
      <c r="BC231" s="23">
        <f>IF(AND(ISNUMBER(L231),Metadata!$H$8&gt;Metadata!$G$8),MAX(Metadata!$G$8-L231,0,L231-Metadata!$H$8)/(Metadata!$H$8-Metadata!$G$8),"Missing input")</f>
        <v>0</v>
      </c>
    </row>
    <row r="232" spans="1:55" x14ac:dyDescent="0.2">
      <c r="A232" t="s">
        <v>307</v>
      </c>
      <c r="B232" t="s">
        <v>297</v>
      </c>
      <c r="C232" t="s">
        <v>84</v>
      </c>
      <c r="D232" t="s">
        <v>55</v>
      </c>
      <c r="E232" t="s">
        <v>56</v>
      </c>
      <c r="F232">
        <v>11</v>
      </c>
      <c r="G232">
        <v>24.502161634428251</v>
      </c>
      <c r="H232">
        <v>33.048591474592847</v>
      </c>
      <c r="I232">
        <v>1.57</v>
      </c>
      <c r="J232">
        <v>1.5</v>
      </c>
      <c r="K232">
        <v>0.25</v>
      </c>
      <c r="L232">
        <v>0.6</v>
      </c>
      <c r="M232">
        <v>6</v>
      </c>
      <c r="N232">
        <v>150</v>
      </c>
      <c r="Q232">
        <v>0.25132741228718353</v>
      </c>
      <c r="R232">
        <v>2383007.1153019848</v>
      </c>
      <c r="S232">
        <v>-4.7200355211601099E-3</v>
      </c>
      <c r="T232">
        <v>1134.971999997148</v>
      </c>
      <c r="U232">
        <v>1297.270350719891</v>
      </c>
      <c r="V232">
        <v>251.099999999369</v>
      </c>
      <c r="W232">
        <v>5.1663494652455233</v>
      </c>
      <c r="X232" t="s">
        <v>57</v>
      </c>
      <c r="Z232">
        <v>563.52</v>
      </c>
      <c r="AA232">
        <v>95.163399999999996</v>
      </c>
      <c r="AB232">
        <v>32.520200000000003</v>
      </c>
      <c r="AC232">
        <v>13.382410757946211</v>
      </c>
      <c r="AD232">
        <v>36.434752809727243</v>
      </c>
      <c r="AE232">
        <v>36.434752809727243</v>
      </c>
      <c r="AF232" t="s">
        <v>58</v>
      </c>
      <c r="AG232" t="b">
        <v>1</v>
      </c>
      <c r="AH232">
        <v>2.7225851506682388</v>
      </c>
      <c r="AI232">
        <v>564.04899999999998</v>
      </c>
      <c r="AJ232">
        <v>91.310100000000006</v>
      </c>
      <c r="AK232">
        <v>32.289299999999997</v>
      </c>
      <c r="AL232">
        <v>12.890557219791321</v>
      </c>
      <c r="AM232">
        <v>36.095107587983193</v>
      </c>
      <c r="AN232">
        <v>36.095107587983193</v>
      </c>
      <c r="AO232" t="s">
        <v>58</v>
      </c>
      <c r="AP232" t="b">
        <v>1</v>
      </c>
      <c r="AQ232">
        <v>2.8001200392303551</v>
      </c>
      <c r="AR232">
        <v>564.04899999999998</v>
      </c>
      <c r="AS232">
        <v>36.434752809727243</v>
      </c>
      <c r="AT232">
        <v>2.8001200392303551</v>
      </c>
      <c r="AU232" s="5">
        <v>27.216760348866252</v>
      </c>
      <c r="AV232" s="5">
        <v>38.875881247978967</v>
      </c>
      <c r="AW232" s="5">
        <v>2.0916896693050755</v>
      </c>
      <c r="AX232" s="5">
        <v>2.9877280818587888</v>
      </c>
      <c r="AY232" t="s">
        <v>59</v>
      </c>
      <c r="AZ232" t="s">
        <v>60</v>
      </c>
      <c r="BA232" s="23">
        <f t="shared" si="3"/>
        <v>0</v>
      </c>
      <c r="BB232" s="23">
        <f>IF(AND(ISNUMBER(H232),Metadata!$H$5&gt;Metadata!$G$5),MAX(Metadata!$G$5-H232,0,H232-Metadata!$H$5)/(Metadata!$H$5-Metadata!$G$5),"Missing input")</f>
        <v>0</v>
      </c>
      <c r="BC232" s="23">
        <f>IF(AND(ISNUMBER(L232),Metadata!$H$8&gt;Metadata!$G$8),MAX(Metadata!$G$8-L232,0,L232-Metadata!$H$8)/(Metadata!$H$8-Metadata!$G$8),"Missing input")</f>
        <v>0</v>
      </c>
    </row>
    <row r="233" spans="1:55" x14ac:dyDescent="0.2">
      <c r="A233" t="s">
        <v>308</v>
      </c>
      <c r="B233" t="s">
        <v>297</v>
      </c>
      <c r="C233" t="s">
        <v>84</v>
      </c>
      <c r="D233" t="s">
        <v>55</v>
      </c>
      <c r="E233" t="s">
        <v>56</v>
      </c>
      <c r="F233">
        <v>12</v>
      </c>
      <c r="G233">
        <v>56.241153781572699</v>
      </c>
      <c r="H233">
        <v>14.78764467513273</v>
      </c>
      <c r="I233">
        <v>1.57</v>
      </c>
      <c r="J233">
        <v>1.5</v>
      </c>
      <c r="K233">
        <v>0.25</v>
      </c>
      <c r="L233">
        <v>0.6</v>
      </c>
      <c r="M233">
        <v>6</v>
      </c>
      <c r="N233">
        <v>150</v>
      </c>
      <c r="Q233">
        <v>0.25132741228718353</v>
      </c>
      <c r="R233">
        <v>2448743.9197241841</v>
      </c>
      <c r="S233">
        <v>-3.1884703194000391E-3</v>
      </c>
      <c r="T233">
        <v>1060.8343060705299</v>
      </c>
      <c r="U233">
        <v>1424.2856527188781</v>
      </c>
      <c r="V233">
        <v>234.69785532533859</v>
      </c>
      <c r="W233">
        <v>6.0685925346208656</v>
      </c>
      <c r="X233" t="s">
        <v>57</v>
      </c>
      <c r="Z233">
        <v>710.07399999999996</v>
      </c>
      <c r="AA233">
        <v>95.163399999999996</v>
      </c>
      <c r="AB233">
        <v>51.296399999999998</v>
      </c>
      <c r="AC233">
        <v>12.282924171001291</v>
      </c>
      <c r="AD233">
        <v>72.76022573951434</v>
      </c>
      <c r="AE233">
        <v>72.76022573951434</v>
      </c>
      <c r="AF233" t="s">
        <v>58</v>
      </c>
      <c r="AG233" t="b">
        <v>1</v>
      </c>
      <c r="AH233">
        <v>5.9236892393501588</v>
      </c>
      <c r="AI233">
        <v>708.44299999999998</v>
      </c>
      <c r="AJ233">
        <v>91.310100000000006</v>
      </c>
      <c r="AK233">
        <v>51.757599999999996</v>
      </c>
      <c r="AL233">
        <v>12.009812029839519</v>
      </c>
      <c r="AM233">
        <v>72.787191298674443</v>
      </c>
      <c r="AN233">
        <v>72.787191298674443</v>
      </c>
      <c r="AO233" t="s">
        <v>58</v>
      </c>
      <c r="AP233" t="b">
        <v>1</v>
      </c>
      <c r="AQ233">
        <v>6.0606436735086087</v>
      </c>
      <c r="AR233">
        <v>710.07399999999996</v>
      </c>
      <c r="AS233">
        <v>72.787191298674443</v>
      </c>
      <c r="AT233">
        <v>6.0606436735086087</v>
      </c>
      <c r="AU233" s="5">
        <v>54.37203190010981</v>
      </c>
      <c r="AV233" s="5">
        <v>77.663933115685623</v>
      </c>
      <c r="AW233" s="5">
        <v>4.5273008241109309</v>
      </c>
      <c r="AX233" s="5">
        <v>6.4667067996336849</v>
      </c>
      <c r="AY233" t="s">
        <v>59</v>
      </c>
      <c r="AZ233" t="s">
        <v>60</v>
      </c>
      <c r="BA233" s="23">
        <f t="shared" si="3"/>
        <v>0</v>
      </c>
      <c r="BB233" s="23">
        <f>IF(AND(ISNUMBER(H233),Metadata!$H$5&gt;Metadata!$G$5),MAX(Metadata!$G$5-H233,0,H233-Metadata!$H$5)/(Metadata!$H$5-Metadata!$G$5),"Missing input")</f>
        <v>0</v>
      </c>
      <c r="BC233" s="23">
        <f>IF(AND(ISNUMBER(L233),Metadata!$H$8&gt;Metadata!$G$8),MAX(Metadata!$G$8-L233,0,L233-Metadata!$H$8)/(Metadata!$H$8-Metadata!$G$8),"Missing input")</f>
        <v>0</v>
      </c>
    </row>
    <row r="234" spans="1:55" x14ac:dyDescent="0.2">
      <c r="A234" t="s">
        <v>309</v>
      </c>
      <c r="B234" t="s">
        <v>297</v>
      </c>
      <c r="C234" t="s">
        <v>84</v>
      </c>
      <c r="D234" t="s">
        <v>55</v>
      </c>
      <c r="E234" t="s">
        <v>56</v>
      </c>
      <c r="F234">
        <v>13</v>
      </c>
      <c r="G234">
        <v>49.119901382435643</v>
      </c>
      <c r="H234">
        <v>22.54933477691009</v>
      </c>
      <c r="I234">
        <v>1.57</v>
      </c>
      <c r="J234">
        <v>1.5</v>
      </c>
      <c r="K234">
        <v>0.25</v>
      </c>
      <c r="L234">
        <v>0.6</v>
      </c>
      <c r="M234">
        <v>6</v>
      </c>
      <c r="N234">
        <v>150</v>
      </c>
      <c r="Q234">
        <v>0.25132741228718353</v>
      </c>
      <c r="R234">
        <v>3276584.6264440492</v>
      </c>
      <c r="S234">
        <v>-4.0312963156632709E-3</v>
      </c>
      <c r="T234">
        <v>1412.968799359719</v>
      </c>
      <c r="U234">
        <v>1399.8310705233209</v>
      </c>
      <c r="V234">
        <v>312.60371667250428</v>
      </c>
      <c r="W234">
        <v>4.4779732161336963</v>
      </c>
      <c r="X234" t="s">
        <v>57</v>
      </c>
      <c r="Z234">
        <v>803.53099999999995</v>
      </c>
      <c r="AA234">
        <v>95.163399999999996</v>
      </c>
      <c r="AB234">
        <v>41.921900000000001</v>
      </c>
      <c r="AC234">
        <v>13.13218801489921</v>
      </c>
      <c r="AD234">
        <v>51.377002193125307</v>
      </c>
      <c r="AE234">
        <v>51.377002193125307</v>
      </c>
      <c r="AF234" t="s">
        <v>58</v>
      </c>
      <c r="AG234" t="b">
        <v>1</v>
      </c>
      <c r="AH234">
        <v>3.9122956612283648</v>
      </c>
      <c r="AI234">
        <v>801.78300000000002</v>
      </c>
      <c r="AJ234">
        <v>91.310100000000006</v>
      </c>
      <c r="AK234">
        <v>39.358900000000013</v>
      </c>
      <c r="AL234">
        <v>12.907371823988649</v>
      </c>
      <c r="AM234">
        <v>51.802642833047123</v>
      </c>
      <c r="AN234">
        <v>51.802642833047123</v>
      </c>
      <c r="AO234" t="s">
        <v>58</v>
      </c>
      <c r="AP234" t="b">
        <v>1</v>
      </c>
      <c r="AQ234">
        <v>4.0134152435874464</v>
      </c>
      <c r="AR234">
        <v>803.53099999999995</v>
      </c>
      <c r="AS234">
        <v>51.802642833047123</v>
      </c>
      <c r="AT234">
        <v>4.0134152435874464</v>
      </c>
      <c r="AU234" s="5">
        <v>38.6965741962862</v>
      </c>
      <c r="AV234" s="5">
        <v>55.273419902861278</v>
      </c>
      <c r="AW234" s="5">
        <v>2.9980211869598223</v>
      </c>
      <c r="AX234" s="5">
        <v>4.2823140649078049</v>
      </c>
      <c r="AY234" t="s">
        <v>59</v>
      </c>
      <c r="AZ234" t="s">
        <v>60</v>
      </c>
      <c r="BA234" s="23">
        <f t="shared" si="3"/>
        <v>0</v>
      </c>
      <c r="BB234" s="23">
        <f>IF(AND(ISNUMBER(H234),Metadata!$H$5&gt;Metadata!$G$5),MAX(Metadata!$G$5-H234,0,H234-Metadata!$H$5)/(Metadata!$H$5-Metadata!$G$5),"Missing input")</f>
        <v>0</v>
      </c>
      <c r="BC234" s="23">
        <f>IF(AND(ISNUMBER(L234),Metadata!$H$8&gt;Metadata!$G$8),MAX(Metadata!$G$8-L234,0,L234-Metadata!$H$8)/(Metadata!$H$8-Metadata!$G$8),"Missing input")</f>
        <v>0</v>
      </c>
    </row>
    <row r="235" spans="1:55" x14ac:dyDescent="0.2">
      <c r="A235" t="s">
        <v>310</v>
      </c>
      <c r="B235" t="s">
        <v>297</v>
      </c>
      <c r="C235" t="s">
        <v>84</v>
      </c>
      <c r="D235" t="s">
        <v>55</v>
      </c>
      <c r="E235" t="s">
        <v>56</v>
      </c>
      <c r="F235">
        <v>14</v>
      </c>
      <c r="G235">
        <v>37.958866376576751</v>
      </c>
      <c r="H235">
        <v>9.8264864335603903</v>
      </c>
      <c r="I235">
        <v>1.57</v>
      </c>
      <c r="J235">
        <v>1.5</v>
      </c>
      <c r="K235">
        <v>0.25</v>
      </c>
      <c r="L235">
        <v>0.6</v>
      </c>
      <c r="M235">
        <v>6</v>
      </c>
      <c r="N235">
        <v>150</v>
      </c>
      <c r="Q235">
        <v>0.25132741228718353</v>
      </c>
      <c r="R235">
        <v>1072728.181448289</v>
      </c>
      <c r="S235">
        <v>-2.5837647321117741E-3</v>
      </c>
      <c r="T235">
        <v>610.81355109044614</v>
      </c>
      <c r="U235">
        <v>1357.608837157866</v>
      </c>
      <c r="V235">
        <v>135.13574139169171</v>
      </c>
      <c r="W235">
        <v>10.046260324445401</v>
      </c>
      <c r="X235" t="s">
        <v>57</v>
      </c>
      <c r="Z235">
        <v>443.98599999999999</v>
      </c>
      <c r="AA235">
        <v>89.409800000000004</v>
      </c>
      <c r="AB235">
        <v>51.296399999999998</v>
      </c>
      <c r="AC235">
        <v>12.37556831519167</v>
      </c>
      <c r="AD235">
        <v>51.424951220040661</v>
      </c>
      <c r="AE235">
        <v>51.424951220040661</v>
      </c>
      <c r="AF235" t="s">
        <v>58</v>
      </c>
      <c r="AG235" t="b">
        <v>1</v>
      </c>
      <c r="AH235">
        <v>4.1553607810409634</v>
      </c>
      <c r="AI235">
        <v>440.04500000000002</v>
      </c>
      <c r="AJ235">
        <v>78.503199999999993</v>
      </c>
      <c r="AK235">
        <v>32.289299999999997</v>
      </c>
      <c r="AL235">
        <v>11.89467382753404</v>
      </c>
      <c r="AN235">
        <v>78.503199999999993</v>
      </c>
      <c r="AO235" t="s">
        <v>62</v>
      </c>
      <c r="AP235" t="b">
        <v>0</v>
      </c>
      <c r="AQ235">
        <v>6.5998615126611666</v>
      </c>
      <c r="AR235">
        <v>443.98599999999999</v>
      </c>
      <c r="AS235">
        <v>78.503199999999993</v>
      </c>
      <c r="AT235">
        <v>6.5998615126611666</v>
      </c>
      <c r="AU235" s="5">
        <v>58.641890399999994</v>
      </c>
      <c r="AV235" s="5">
        <v>83.762914399999985</v>
      </c>
      <c r="AW235" s="5">
        <v>4.9300965499578915</v>
      </c>
      <c r="AX235" s="5">
        <v>7.0420522340094642</v>
      </c>
      <c r="AY235" t="s">
        <v>59</v>
      </c>
      <c r="AZ235" t="s">
        <v>60</v>
      </c>
      <c r="BA235" s="23">
        <f t="shared" si="3"/>
        <v>0</v>
      </c>
      <c r="BB235" s="23">
        <f>IF(AND(ISNUMBER(H235),Metadata!$H$5&gt;Metadata!$G$5),MAX(Metadata!$G$5-H235,0,H235-Metadata!$H$5)/(Metadata!$H$5-Metadata!$G$5),"Missing input")</f>
        <v>0</v>
      </c>
      <c r="BC235" s="23">
        <f>IF(AND(ISNUMBER(L235),Metadata!$H$8&gt;Metadata!$G$8),MAX(Metadata!$G$8-L235,0,L235-Metadata!$H$8)/(Metadata!$H$8-Metadata!$G$8),"Missing input")</f>
        <v>0</v>
      </c>
    </row>
    <row r="236" spans="1:55" x14ac:dyDescent="0.2">
      <c r="A236" t="s">
        <v>311</v>
      </c>
      <c r="B236" t="s">
        <v>297</v>
      </c>
      <c r="C236" t="s">
        <v>84</v>
      </c>
      <c r="D236" t="s">
        <v>55</v>
      </c>
      <c r="E236" t="s">
        <v>56</v>
      </c>
      <c r="F236">
        <v>15</v>
      </c>
      <c r="G236">
        <v>27.308053040943211</v>
      </c>
      <c r="H236">
        <v>5.2772178758296739</v>
      </c>
      <c r="I236">
        <v>1.57</v>
      </c>
      <c r="J236">
        <v>1.5</v>
      </c>
      <c r="K236">
        <v>0.25</v>
      </c>
      <c r="L236">
        <v>0.6</v>
      </c>
      <c r="M236">
        <v>6</v>
      </c>
      <c r="N236">
        <v>150</v>
      </c>
      <c r="Q236">
        <v>0.25132741228718353</v>
      </c>
      <c r="R236">
        <v>386052.96198531118</v>
      </c>
      <c r="S236">
        <v>-2.0559132203587321E-3</v>
      </c>
      <c r="T236">
        <v>428.52672237905682</v>
      </c>
      <c r="U236">
        <v>1311.0081783309561</v>
      </c>
      <c r="V236">
        <v>94.806796986516986</v>
      </c>
      <c r="W236">
        <v>13.82820873610361</v>
      </c>
      <c r="X236" t="s">
        <v>57</v>
      </c>
      <c r="Z236">
        <v>302.79000000000002</v>
      </c>
      <c r="AA236">
        <v>95.163399999999996</v>
      </c>
      <c r="AB236">
        <v>73.193300000000008</v>
      </c>
      <c r="AC236">
        <v>13.270901868421049</v>
      </c>
      <c r="AE236">
        <v>95.163399999999996</v>
      </c>
      <c r="AF236" t="s">
        <v>62</v>
      </c>
      <c r="AG236" t="b">
        <v>0</v>
      </c>
      <c r="AH236">
        <v>7.1708314132325306</v>
      </c>
      <c r="AI236">
        <v>302.39800000000002</v>
      </c>
      <c r="AJ236">
        <v>91.310100000000006</v>
      </c>
      <c r="AK236">
        <v>72.180599999999998</v>
      </c>
      <c r="AL236">
        <v>12.86539102990033</v>
      </c>
      <c r="AN236">
        <v>91.310100000000006</v>
      </c>
      <c r="AO236" t="s">
        <v>62</v>
      </c>
      <c r="AP236" t="b">
        <v>0</v>
      </c>
      <c r="AQ236">
        <v>7.0973435465573544</v>
      </c>
      <c r="AR236">
        <v>302.79000000000002</v>
      </c>
      <c r="AS236">
        <v>95.163399999999996</v>
      </c>
      <c r="AT236">
        <v>7.1708314132325306</v>
      </c>
      <c r="AU236" s="5">
        <v>71.087059799999992</v>
      </c>
      <c r="AV236" s="5">
        <v>101.53934779999999</v>
      </c>
      <c r="AW236" s="5">
        <v>5.3566110656847004</v>
      </c>
      <c r="AX236" s="5">
        <v>7.6512771179191095</v>
      </c>
      <c r="AY236" t="s">
        <v>59</v>
      </c>
      <c r="AZ236" t="s">
        <v>60</v>
      </c>
      <c r="BA236" s="23">
        <f t="shared" si="3"/>
        <v>0</v>
      </c>
      <c r="BB236" s="23">
        <f>IF(AND(ISNUMBER(H236),Metadata!$H$5&gt;Metadata!$G$5),MAX(Metadata!$G$5-H236,0,H236-Metadata!$H$5)/(Metadata!$H$5-Metadata!$G$5),"Missing input")</f>
        <v>0</v>
      </c>
      <c r="BC236" s="23">
        <f>IF(AND(ISNUMBER(L236),Metadata!$H$8&gt;Metadata!$G$8),MAX(Metadata!$G$8-L236,0,L236-Metadata!$H$8)/(Metadata!$H$8-Metadata!$G$8),"Missing input")</f>
        <v>0</v>
      </c>
    </row>
    <row r="237" spans="1:55" x14ac:dyDescent="0.2">
      <c r="A237" t="s">
        <v>312</v>
      </c>
      <c r="B237" t="s">
        <v>297</v>
      </c>
      <c r="C237" t="s">
        <v>84</v>
      </c>
      <c r="D237" t="s">
        <v>55</v>
      </c>
      <c r="E237" t="s">
        <v>56</v>
      </c>
      <c r="F237">
        <v>16</v>
      </c>
      <c r="G237">
        <v>31.1252119640606</v>
      </c>
      <c r="H237">
        <v>39.5069074866867</v>
      </c>
      <c r="I237">
        <v>1.57</v>
      </c>
      <c r="J237">
        <v>1.5</v>
      </c>
      <c r="K237">
        <v>0.25</v>
      </c>
      <c r="L237">
        <v>0.6</v>
      </c>
      <c r="M237">
        <v>6</v>
      </c>
      <c r="N237">
        <v>150</v>
      </c>
      <c r="Q237">
        <v>0.25132741228718353</v>
      </c>
      <c r="R237">
        <v>3642703.933702969</v>
      </c>
      <c r="S237">
        <v>-4.8708534796697766E-3</v>
      </c>
      <c r="T237">
        <v>1657.5346780090949</v>
      </c>
      <c r="U237">
        <v>1328.6091927779689</v>
      </c>
      <c r="V237">
        <v>366.71121194891492</v>
      </c>
      <c r="W237">
        <v>3.6230394639884982</v>
      </c>
      <c r="X237" t="s">
        <v>57</v>
      </c>
      <c r="Z237">
        <v>683.56500000000005</v>
      </c>
      <c r="AA237">
        <v>95.163399999999996</v>
      </c>
      <c r="AB237">
        <v>27.734999999999999</v>
      </c>
      <c r="AC237">
        <v>12.609885224887559</v>
      </c>
      <c r="AD237">
        <v>29.356710676605509</v>
      </c>
      <c r="AE237">
        <v>29.356710676605509</v>
      </c>
      <c r="AF237" t="s">
        <v>58</v>
      </c>
      <c r="AG237" t="b">
        <v>1</v>
      </c>
      <c r="AH237">
        <v>2.3280712039048139</v>
      </c>
      <c r="AI237">
        <v>691.21199999999999</v>
      </c>
      <c r="AJ237">
        <v>91.310100000000006</v>
      </c>
      <c r="AK237">
        <v>28.8597</v>
      </c>
      <c r="AL237">
        <v>12.117305271046719</v>
      </c>
      <c r="AM237">
        <v>30.667950575408138</v>
      </c>
      <c r="AN237">
        <v>30.667950575408138</v>
      </c>
      <c r="AO237" t="s">
        <v>58</v>
      </c>
      <c r="AP237" t="b">
        <v>1</v>
      </c>
      <c r="AQ237">
        <v>2.530921676842345</v>
      </c>
      <c r="AR237">
        <v>691.21199999999999</v>
      </c>
      <c r="AS237">
        <v>30.667950575408138</v>
      </c>
      <c r="AT237">
        <v>2.530921676842345</v>
      </c>
      <c r="AU237" s="5">
        <v>22.908959079829881</v>
      </c>
      <c r="AV237" s="5">
        <v>32.722703263960483</v>
      </c>
      <c r="AW237" s="5">
        <v>1.8905984926012318</v>
      </c>
      <c r="AX237" s="5">
        <v>2.7004934291907818</v>
      </c>
      <c r="AY237" t="s">
        <v>59</v>
      </c>
      <c r="AZ237" t="s">
        <v>60</v>
      </c>
      <c r="BA237" s="23">
        <f t="shared" si="3"/>
        <v>0</v>
      </c>
      <c r="BB237" s="23">
        <f>IF(AND(ISNUMBER(H237),Metadata!$H$5&gt;Metadata!$G$5),MAX(Metadata!$G$5-H237,0,H237-Metadata!$H$5)/(Metadata!$H$5-Metadata!$G$5),"Missing input")</f>
        <v>0</v>
      </c>
      <c r="BC237" s="23">
        <f>IF(AND(ISNUMBER(L237),Metadata!$H$8&gt;Metadata!$G$8),MAX(Metadata!$G$8-L237,0,L237-Metadata!$H$8)/(Metadata!$H$8-Metadata!$G$8),"Missing input")</f>
        <v>0</v>
      </c>
    </row>
    <row r="238" spans="1:55" x14ac:dyDescent="0.2">
      <c r="A238" t="s">
        <v>313</v>
      </c>
      <c r="B238" t="s">
        <v>297</v>
      </c>
      <c r="C238" t="s">
        <v>84</v>
      </c>
      <c r="D238" t="s">
        <v>55</v>
      </c>
      <c r="E238" t="s">
        <v>56</v>
      </c>
      <c r="F238">
        <v>17</v>
      </c>
      <c r="G238">
        <v>46.390186033042063</v>
      </c>
      <c r="H238">
        <v>16.21387510983789</v>
      </c>
      <c r="I238">
        <v>1.57</v>
      </c>
      <c r="J238">
        <v>1.5</v>
      </c>
      <c r="K238">
        <v>0.25</v>
      </c>
      <c r="L238">
        <v>0.6</v>
      </c>
      <c r="M238">
        <v>6</v>
      </c>
      <c r="N238">
        <v>150</v>
      </c>
      <c r="Q238">
        <v>0.25132741228718353</v>
      </c>
      <c r="R238">
        <v>2210215.3729856689</v>
      </c>
      <c r="S238">
        <v>-3.3579108399359259E-3</v>
      </c>
      <c r="T238">
        <v>992.19235058261199</v>
      </c>
      <c r="U238">
        <v>1389.990220825558</v>
      </c>
      <c r="V238">
        <v>219.5115819873036</v>
      </c>
      <c r="W238">
        <v>6.3321953595412301</v>
      </c>
      <c r="X238" t="s">
        <v>57</v>
      </c>
      <c r="Z238">
        <v>650.23800000000006</v>
      </c>
      <c r="AA238">
        <v>95.137600000000006</v>
      </c>
      <c r="AB238">
        <v>50.613599999999998</v>
      </c>
      <c r="AC238">
        <v>12.497770627882231</v>
      </c>
      <c r="AD238">
        <v>72.450406011993977</v>
      </c>
      <c r="AE238">
        <v>72.450406011993977</v>
      </c>
      <c r="AF238" t="s">
        <v>58</v>
      </c>
      <c r="AG238" t="b">
        <v>1</v>
      </c>
      <c r="AH238">
        <v>5.7970663864128564</v>
      </c>
      <c r="AI238">
        <v>648.22699999999998</v>
      </c>
      <c r="AJ238">
        <v>91.335799999999992</v>
      </c>
      <c r="AK238">
        <v>50.383499999999998</v>
      </c>
      <c r="AL238">
        <v>12.155488774659631</v>
      </c>
      <c r="AM238">
        <v>51.91122731932596</v>
      </c>
      <c r="AN238">
        <v>51.91122731932596</v>
      </c>
      <c r="AO238" t="s">
        <v>58</v>
      </c>
      <c r="AP238" t="b">
        <v>1</v>
      </c>
      <c r="AQ238">
        <v>4.2705997497644477</v>
      </c>
      <c r="AR238">
        <v>650.23800000000006</v>
      </c>
      <c r="AS238">
        <v>72.450406011993977</v>
      </c>
      <c r="AT238">
        <v>5.7970663864128564</v>
      </c>
      <c r="AU238" s="5">
        <v>54.120453290959503</v>
      </c>
      <c r="AV238" s="5">
        <v>77.304583214797574</v>
      </c>
      <c r="AW238" s="5">
        <v>4.3304085906504035</v>
      </c>
      <c r="AX238" s="5">
        <v>6.1854698343025172</v>
      </c>
      <c r="AY238" t="s">
        <v>59</v>
      </c>
      <c r="AZ238" t="s">
        <v>60</v>
      </c>
      <c r="BA238" s="23">
        <f t="shared" si="3"/>
        <v>0</v>
      </c>
      <c r="BB238" s="23">
        <f>IF(AND(ISNUMBER(H238),Metadata!$H$5&gt;Metadata!$G$5),MAX(Metadata!$G$5-H238,0,H238-Metadata!$H$5)/(Metadata!$H$5-Metadata!$G$5),"Missing input")</f>
        <v>0</v>
      </c>
      <c r="BC238" s="23">
        <f>IF(AND(ISNUMBER(L238),Metadata!$H$8&gt;Metadata!$G$8),MAX(Metadata!$G$8-L238,0,L238-Metadata!$H$8)/(Metadata!$H$8-Metadata!$G$8),"Missing input")</f>
        <v>0</v>
      </c>
    </row>
    <row r="239" spans="1:55" x14ac:dyDescent="0.2">
      <c r="A239" t="s">
        <v>314</v>
      </c>
      <c r="B239" t="s">
        <v>297</v>
      </c>
      <c r="C239" t="s">
        <v>84</v>
      </c>
      <c r="D239" t="s">
        <v>55</v>
      </c>
      <c r="E239" t="s">
        <v>56</v>
      </c>
      <c r="F239">
        <v>18</v>
      </c>
      <c r="G239">
        <v>54.165408264435399</v>
      </c>
      <c r="H239">
        <v>18.25275816413232</v>
      </c>
      <c r="I239">
        <v>1.57</v>
      </c>
      <c r="J239">
        <v>1.5</v>
      </c>
      <c r="K239">
        <v>0.25</v>
      </c>
      <c r="L239">
        <v>0.6</v>
      </c>
      <c r="M239">
        <v>6</v>
      </c>
      <c r="N239">
        <v>150</v>
      </c>
      <c r="Q239">
        <v>0.25132741228718353</v>
      </c>
      <c r="R239">
        <v>2919725.6187367002</v>
      </c>
      <c r="S239">
        <v>-3.5910426875285181E-3</v>
      </c>
      <c r="T239">
        <v>1250.244632367107</v>
      </c>
      <c r="U239">
        <v>1417.3259392835701</v>
      </c>
      <c r="V239">
        <v>276.6027947714839</v>
      </c>
      <c r="W239">
        <v>5.1240477900973378</v>
      </c>
      <c r="X239" t="s">
        <v>57</v>
      </c>
      <c r="Z239">
        <v>775.56500000000005</v>
      </c>
      <c r="AA239">
        <v>95.163399999999996</v>
      </c>
      <c r="AB239">
        <v>44.910200000000003</v>
      </c>
      <c r="AC239">
        <v>12.66462206014363</v>
      </c>
      <c r="AD239">
        <v>63.806660968956074</v>
      </c>
      <c r="AE239">
        <v>63.806660968956074</v>
      </c>
      <c r="AF239" t="s">
        <v>58</v>
      </c>
      <c r="AG239" t="b">
        <v>1</v>
      </c>
      <c r="AH239">
        <v>5.0381812158263841</v>
      </c>
      <c r="AI239">
        <v>773.39099999999996</v>
      </c>
      <c r="AJ239">
        <v>91.310100000000006</v>
      </c>
      <c r="AK239">
        <v>47.291899999999998</v>
      </c>
      <c r="AL239">
        <v>12.46463252675386</v>
      </c>
      <c r="AM239">
        <v>63.190394292425736</v>
      </c>
      <c r="AN239">
        <v>63.190394292425736</v>
      </c>
      <c r="AO239" t="s">
        <v>58</v>
      </c>
      <c r="AP239" t="b">
        <v>1</v>
      </c>
      <c r="AQ239">
        <v>5.0695753891496622</v>
      </c>
      <c r="AR239">
        <v>775.56500000000005</v>
      </c>
      <c r="AS239">
        <v>63.806660968956074</v>
      </c>
      <c r="AT239">
        <v>5.0695753891496622</v>
      </c>
      <c r="AU239" s="5">
        <v>47.663575743810185</v>
      </c>
      <c r="AV239" s="5">
        <v>68.081707253876132</v>
      </c>
      <c r="AW239" s="5">
        <v>3.7869728156947975</v>
      </c>
      <c r="AX239" s="5">
        <v>5.409236940222689</v>
      </c>
      <c r="AY239" t="s">
        <v>59</v>
      </c>
      <c r="AZ239" t="s">
        <v>60</v>
      </c>
      <c r="BA239" s="23">
        <f t="shared" si="3"/>
        <v>0</v>
      </c>
      <c r="BB239" s="23">
        <f>IF(AND(ISNUMBER(H239),Metadata!$H$5&gt;Metadata!$G$5),MAX(Metadata!$G$5-H239,0,H239-Metadata!$H$5)/(Metadata!$H$5-Metadata!$G$5),"Missing input")</f>
        <v>0</v>
      </c>
      <c r="BC239" s="23">
        <f>IF(AND(ISNUMBER(L239),Metadata!$H$8&gt;Metadata!$G$8),MAX(Metadata!$G$8-L239,0,L239-Metadata!$H$8)/(Metadata!$H$8-Metadata!$G$8),"Missing input")</f>
        <v>0</v>
      </c>
    </row>
    <row r="240" spans="1:55" x14ac:dyDescent="0.2">
      <c r="A240" t="s">
        <v>315</v>
      </c>
      <c r="B240" t="s">
        <v>297</v>
      </c>
      <c r="C240" t="s">
        <v>84</v>
      </c>
      <c r="D240" t="s">
        <v>55</v>
      </c>
      <c r="E240" t="s">
        <v>56</v>
      </c>
      <c r="F240">
        <v>19</v>
      </c>
      <c r="G240">
        <v>21.707483118551171</v>
      </c>
      <c r="H240">
        <v>43.497365085878002</v>
      </c>
      <c r="I240">
        <v>1.57</v>
      </c>
      <c r="J240">
        <v>1.5</v>
      </c>
      <c r="K240">
        <v>0.25</v>
      </c>
      <c r="L240">
        <v>0.6</v>
      </c>
      <c r="M240">
        <v>6</v>
      </c>
      <c r="N240">
        <v>150</v>
      </c>
      <c r="Q240">
        <v>0.25132741228718353</v>
      </c>
      <c r="R240">
        <v>2786376.2799094608</v>
      </c>
      <c r="S240">
        <v>-4.8734282965759686E-3</v>
      </c>
      <c r="T240">
        <v>1327.844178866673</v>
      </c>
      <c r="U240">
        <v>1282.7806346372761</v>
      </c>
      <c r="V240">
        <v>293.77083603244972</v>
      </c>
      <c r="W240">
        <v>4.3666030704817169</v>
      </c>
      <c r="X240" t="s">
        <v>57</v>
      </c>
      <c r="Z240">
        <v>541.17399999999998</v>
      </c>
      <c r="AA240">
        <v>86.48</v>
      </c>
      <c r="AB240">
        <v>25.7987</v>
      </c>
      <c r="AC240">
        <v>12.547070472589789</v>
      </c>
      <c r="AD240">
        <v>25.881012612060321</v>
      </c>
      <c r="AE240">
        <v>25.881012612060321</v>
      </c>
      <c r="AF240" t="s">
        <v>58</v>
      </c>
      <c r="AG240" t="b">
        <v>1</v>
      </c>
      <c r="AH240">
        <v>2.0627135767348821</v>
      </c>
      <c r="AI240">
        <v>545.22900000000004</v>
      </c>
      <c r="AJ240">
        <v>91.154600000000002</v>
      </c>
      <c r="AK240">
        <v>27.145</v>
      </c>
      <c r="AL240">
        <v>11.801779153506001</v>
      </c>
      <c r="AM240">
        <v>28.55260774375407</v>
      </c>
      <c r="AN240">
        <v>28.55260774375407</v>
      </c>
      <c r="AO240" t="s">
        <v>58</v>
      </c>
      <c r="AP240" t="b">
        <v>1</v>
      </c>
      <c r="AQ240">
        <v>2.4193477417573792</v>
      </c>
      <c r="AR240">
        <v>545.22900000000004</v>
      </c>
      <c r="AS240">
        <v>28.55260774375407</v>
      </c>
      <c r="AT240">
        <v>2.4193477417573792</v>
      </c>
      <c r="AU240" s="5">
        <v>21.328797984584291</v>
      </c>
      <c r="AV240" s="5">
        <v>30.465632462585592</v>
      </c>
      <c r="AW240" s="5">
        <v>1.8072527630927622</v>
      </c>
      <c r="AX240" s="5">
        <v>2.5814440404551235</v>
      </c>
      <c r="AY240" t="s">
        <v>64</v>
      </c>
      <c r="AZ240" t="s">
        <v>7</v>
      </c>
      <c r="BA240" s="23">
        <f t="shared" si="3"/>
        <v>9.4596678167087334E-2</v>
      </c>
      <c r="BB240" s="23">
        <f>IF(AND(ISNUMBER(H240),Metadata!$H$5&gt;Metadata!$G$5),MAX(Metadata!$G$5-H240,0,H240-Metadata!$H$5)/(Metadata!$H$5-Metadata!$G$5),"Missing input")</f>
        <v>9.4596678167087334E-2</v>
      </c>
      <c r="BC240" s="23">
        <f>IF(AND(ISNUMBER(L240),Metadata!$H$8&gt;Metadata!$G$8),MAX(Metadata!$G$8-L240,0,L240-Metadata!$H$8)/(Metadata!$H$8-Metadata!$G$8),"Missing input")</f>
        <v>0</v>
      </c>
    </row>
    <row r="241" spans="1:55" x14ac:dyDescent="0.2">
      <c r="A241" t="s">
        <v>316</v>
      </c>
      <c r="B241" t="s">
        <v>297</v>
      </c>
      <c r="C241" t="s">
        <v>84</v>
      </c>
      <c r="D241" t="s">
        <v>55</v>
      </c>
      <c r="E241" t="s">
        <v>56</v>
      </c>
      <c r="F241">
        <v>20</v>
      </c>
      <c r="G241">
        <v>53.035991243371583</v>
      </c>
      <c r="H241">
        <v>30.34654288470276</v>
      </c>
      <c r="I241">
        <v>1.57</v>
      </c>
      <c r="J241">
        <v>1.5</v>
      </c>
      <c r="K241">
        <v>0.25</v>
      </c>
      <c r="L241">
        <v>0.6</v>
      </c>
      <c r="M241">
        <v>6</v>
      </c>
      <c r="N241">
        <v>150</v>
      </c>
      <c r="Q241">
        <v>0.25132741228718353</v>
      </c>
      <c r="R241">
        <v>4782098.2730990862</v>
      </c>
      <c r="S241">
        <v>-4.5976988444908816E-3</v>
      </c>
      <c r="T241">
        <v>2064.392118408005</v>
      </c>
      <c r="U241">
        <v>1413.4830698594119</v>
      </c>
      <c r="V241">
        <v>456.72392000177121</v>
      </c>
      <c r="W241">
        <v>3.0948303952504399</v>
      </c>
      <c r="X241" t="s">
        <v>57</v>
      </c>
      <c r="Z241">
        <v>970.65899999999999</v>
      </c>
      <c r="AA241">
        <v>95.163399999999996</v>
      </c>
      <c r="AB241">
        <v>34.786900000000003</v>
      </c>
      <c r="AC241">
        <v>13.73021526579622</v>
      </c>
      <c r="AD241">
        <v>37.882813614574403</v>
      </c>
      <c r="AE241">
        <v>37.882813614574403</v>
      </c>
      <c r="AF241" t="s">
        <v>58</v>
      </c>
      <c r="AG241" t="b">
        <v>1</v>
      </c>
      <c r="AH241">
        <v>2.7590837347572759</v>
      </c>
      <c r="AI241">
        <v>966.41700000000003</v>
      </c>
      <c r="AJ241">
        <v>91.310100000000006</v>
      </c>
      <c r="AK241">
        <v>34.388800000000003</v>
      </c>
      <c r="AL241">
        <v>13.20910853024575</v>
      </c>
      <c r="AM241">
        <v>38.388273698111632</v>
      </c>
      <c r="AN241">
        <v>38.388273698111632</v>
      </c>
      <c r="AO241" t="s">
        <v>58</v>
      </c>
      <c r="AP241" t="b">
        <v>1</v>
      </c>
      <c r="AQ241">
        <v>2.9061971601044481</v>
      </c>
      <c r="AR241">
        <v>970.65899999999999</v>
      </c>
      <c r="AS241">
        <v>38.388273698111632</v>
      </c>
      <c r="AT241">
        <v>2.9061971601044481</v>
      </c>
      <c r="AU241" s="5">
        <v>28.676040452489389</v>
      </c>
      <c r="AV241" s="5">
        <v>40.960288035885107</v>
      </c>
      <c r="AW241" s="5">
        <v>2.1709292785980225</v>
      </c>
      <c r="AX241" s="5">
        <v>3.100912369831446</v>
      </c>
      <c r="AY241" t="s">
        <v>59</v>
      </c>
      <c r="AZ241" t="s">
        <v>60</v>
      </c>
      <c r="BA241" s="23">
        <f t="shared" si="3"/>
        <v>0</v>
      </c>
      <c r="BB241" s="23">
        <f>IF(AND(ISNUMBER(H241),Metadata!$H$5&gt;Metadata!$G$5),MAX(Metadata!$G$5-H241,0,H241-Metadata!$H$5)/(Metadata!$H$5-Metadata!$G$5),"Missing input")</f>
        <v>0</v>
      </c>
      <c r="BC241" s="23">
        <f>IF(AND(ISNUMBER(L241),Metadata!$H$8&gt;Metadata!$G$8),MAX(Metadata!$G$8-L241,0,L241-Metadata!$H$8)/(Metadata!$H$8-Metadata!$G$8),"Missing input")</f>
        <v>0</v>
      </c>
    </row>
    <row r="242" spans="1:55" x14ac:dyDescent="0.2">
      <c r="A242" t="s">
        <v>317</v>
      </c>
      <c r="B242" t="s">
        <v>318</v>
      </c>
      <c r="C242" t="s">
        <v>84</v>
      </c>
      <c r="D242" t="s">
        <v>55</v>
      </c>
      <c r="E242" t="s">
        <v>56</v>
      </c>
      <c r="F242">
        <v>1</v>
      </c>
      <c r="G242">
        <v>22.11413992487228</v>
      </c>
      <c r="H242">
        <v>28.832065765515338</v>
      </c>
      <c r="I242">
        <v>1.57</v>
      </c>
      <c r="J242">
        <v>1.5</v>
      </c>
      <c r="K242">
        <v>0.2</v>
      </c>
      <c r="L242">
        <v>0.25</v>
      </c>
      <c r="M242">
        <v>6</v>
      </c>
      <c r="N242">
        <v>190</v>
      </c>
      <c r="Q242">
        <v>0.1984163781214606</v>
      </c>
      <c r="R242">
        <v>1866510.334985178</v>
      </c>
      <c r="S242">
        <v>-4.1507281158191514E-3</v>
      </c>
      <c r="T242">
        <v>931.93139645531812</v>
      </c>
      <c r="U242">
        <v>672.06023102885479</v>
      </c>
      <c r="V242">
        <v>206.1795124901146</v>
      </c>
      <c r="W242">
        <v>3.2595878364057969</v>
      </c>
      <c r="X242" t="s">
        <v>57</v>
      </c>
      <c r="Z242">
        <v>506.87900000000002</v>
      </c>
      <c r="AA242">
        <v>95.163399999999996</v>
      </c>
      <c r="AB242">
        <v>35.7943</v>
      </c>
      <c r="AC242">
        <v>13.558856502347419</v>
      </c>
      <c r="AD242">
        <v>41.218889754647762</v>
      </c>
      <c r="AE242">
        <v>41.218889754647762</v>
      </c>
      <c r="AF242" t="s">
        <v>58</v>
      </c>
      <c r="AG242" t="b">
        <v>1</v>
      </c>
      <c r="AH242">
        <v>3.0399974914928558</v>
      </c>
      <c r="AI242">
        <v>504.30599999999998</v>
      </c>
      <c r="AJ242">
        <v>91.310100000000006</v>
      </c>
      <c r="AK242">
        <v>35.435099999999998</v>
      </c>
      <c r="AL242">
        <v>13.05112810964083</v>
      </c>
      <c r="AM242">
        <v>39.98440649387495</v>
      </c>
      <c r="AN242">
        <v>39.98440649387495</v>
      </c>
      <c r="AO242" t="s">
        <v>58</v>
      </c>
      <c r="AP242" t="b">
        <v>1</v>
      </c>
      <c r="AQ242">
        <v>3.0636743550420431</v>
      </c>
      <c r="AR242">
        <v>506.87900000000002</v>
      </c>
      <c r="AS242">
        <v>41.218889754647762</v>
      </c>
      <c r="AT242">
        <v>3.0636743550420431</v>
      </c>
      <c r="AU242" s="5">
        <v>30.790510646721877</v>
      </c>
      <c r="AV242" s="5">
        <v>43.98055536820916</v>
      </c>
      <c r="AW242" s="5">
        <v>2.2885647432164062</v>
      </c>
      <c r="AX242" s="5">
        <v>3.2689405368298599</v>
      </c>
      <c r="AY242" t="s">
        <v>59</v>
      </c>
      <c r="AZ242" t="s">
        <v>60</v>
      </c>
      <c r="BA242" s="23">
        <f t="shared" si="3"/>
        <v>0</v>
      </c>
      <c r="BB242" s="23">
        <f>IF(AND(ISNUMBER(H242),Metadata!$H$5&gt;Metadata!$G$5),MAX(Metadata!$G$5-H242,0,H242-Metadata!$H$5)/(Metadata!$H$5-Metadata!$G$5),"Missing input")</f>
        <v>0</v>
      </c>
      <c r="BC242" s="23">
        <f>IF(AND(ISNUMBER(L242),Metadata!$H$8&gt;Metadata!$G$8),MAX(Metadata!$G$8-L242,0,L242-Metadata!$H$8)/(Metadata!$H$8-Metadata!$G$8),"Missing input")</f>
        <v>0</v>
      </c>
    </row>
    <row r="243" spans="1:55" x14ac:dyDescent="0.2">
      <c r="A243" t="s">
        <v>319</v>
      </c>
      <c r="B243" t="s">
        <v>318</v>
      </c>
      <c r="C243" t="s">
        <v>84</v>
      </c>
      <c r="D243" t="s">
        <v>55</v>
      </c>
      <c r="E243" t="s">
        <v>56</v>
      </c>
      <c r="F243">
        <v>2</v>
      </c>
      <c r="G243">
        <v>39.289372610104301</v>
      </c>
      <c r="H243">
        <v>11.43599740060767</v>
      </c>
      <c r="I243">
        <v>1.57</v>
      </c>
      <c r="J243">
        <v>1.5</v>
      </c>
      <c r="K243">
        <v>0.2</v>
      </c>
      <c r="L243">
        <v>0.25</v>
      </c>
      <c r="M243">
        <v>6</v>
      </c>
      <c r="N243">
        <v>190</v>
      </c>
      <c r="Q243">
        <v>0.1984163781214606</v>
      </c>
      <c r="R243">
        <v>1301660.814121977</v>
      </c>
      <c r="S243">
        <v>-2.7583829029982181E-3</v>
      </c>
      <c r="T243">
        <v>682.24591859950192</v>
      </c>
      <c r="U243">
        <v>750.05745558684532</v>
      </c>
      <c r="V243">
        <v>150.93936252201371</v>
      </c>
      <c r="W243">
        <v>4.9692634383390439</v>
      </c>
      <c r="X243" t="s">
        <v>57</v>
      </c>
      <c r="Z243">
        <v>480.96600000000001</v>
      </c>
      <c r="AA243">
        <v>95.163399999999996</v>
      </c>
      <c r="AB243">
        <v>61.124299999999998</v>
      </c>
      <c r="AC243">
        <v>12.098496070159859</v>
      </c>
      <c r="AD243">
        <v>92.726115694890197</v>
      </c>
      <c r="AE243">
        <v>92.726115694890197</v>
      </c>
      <c r="AF243" t="s">
        <v>58</v>
      </c>
      <c r="AG243" t="b">
        <v>1</v>
      </c>
      <c r="AH243">
        <v>7.6642679517492267</v>
      </c>
      <c r="AI243">
        <v>480.07499999999999</v>
      </c>
      <c r="AJ243">
        <v>91.310100000000006</v>
      </c>
      <c r="AK243">
        <v>60.512900000000002</v>
      </c>
      <c r="AL243">
        <v>11.619535629432621</v>
      </c>
      <c r="AN243">
        <v>91.310100000000006</v>
      </c>
      <c r="AO243" t="s">
        <v>62</v>
      </c>
      <c r="AP243" t="b">
        <v>0</v>
      </c>
      <c r="AQ243">
        <v>7.8583260908214667</v>
      </c>
      <c r="AR243">
        <v>480.96600000000001</v>
      </c>
      <c r="AS243">
        <v>92.726115694890197</v>
      </c>
      <c r="AT243">
        <v>7.8583260908214667</v>
      </c>
      <c r="AU243" s="5">
        <v>69.266408424082982</v>
      </c>
      <c r="AV243" s="5">
        <v>98.938765446447832</v>
      </c>
      <c r="AW243" s="5">
        <v>5.8701695898436359</v>
      </c>
      <c r="AX243" s="5">
        <v>8.384833938906505</v>
      </c>
      <c r="AY243" t="s">
        <v>59</v>
      </c>
      <c r="AZ243" t="s">
        <v>60</v>
      </c>
      <c r="BA243" s="23">
        <f t="shared" si="3"/>
        <v>0</v>
      </c>
      <c r="BB243" s="23">
        <f>IF(AND(ISNUMBER(H243),Metadata!$H$5&gt;Metadata!$G$5),MAX(Metadata!$G$5-H243,0,H243-Metadata!$H$5)/(Metadata!$H$5-Metadata!$G$5),"Missing input")</f>
        <v>0</v>
      </c>
      <c r="BC243" s="23">
        <f>IF(AND(ISNUMBER(L243),Metadata!$H$8&gt;Metadata!$G$8),MAX(Metadata!$G$8-L243,0,L243-Metadata!$H$8)/(Metadata!$H$8-Metadata!$G$8),"Missing input")</f>
        <v>0</v>
      </c>
    </row>
    <row r="244" spans="1:55" x14ac:dyDescent="0.2">
      <c r="A244" t="s">
        <v>320</v>
      </c>
      <c r="B244" t="s">
        <v>318</v>
      </c>
      <c r="C244" t="s">
        <v>84</v>
      </c>
      <c r="D244" t="s">
        <v>55</v>
      </c>
      <c r="E244" t="s">
        <v>56</v>
      </c>
      <c r="F244">
        <v>3</v>
      </c>
      <c r="G244">
        <v>50.720967279676117</v>
      </c>
      <c r="H244">
        <v>41.572102032205443</v>
      </c>
      <c r="I244">
        <v>1.57</v>
      </c>
      <c r="J244">
        <v>1.5</v>
      </c>
      <c r="K244">
        <v>0.2</v>
      </c>
      <c r="L244">
        <v>0.25</v>
      </c>
      <c r="M244">
        <v>6</v>
      </c>
      <c r="N244">
        <v>190</v>
      </c>
      <c r="Q244">
        <v>0.1984163781214606</v>
      </c>
      <c r="R244">
        <v>6279453.0057685468</v>
      </c>
      <c r="S244">
        <v>-4.3045462414887216E-3</v>
      </c>
      <c r="T244">
        <v>2795.5189136654449</v>
      </c>
      <c r="U244">
        <v>792.59154081609961</v>
      </c>
      <c r="V244">
        <v>618.47763576669149</v>
      </c>
      <c r="W244">
        <v>1.2815201310126101</v>
      </c>
      <c r="X244" t="s">
        <v>57</v>
      </c>
      <c r="Z244">
        <v>998.36099999999999</v>
      </c>
      <c r="AA244">
        <v>95.163399999999996</v>
      </c>
      <c r="AB244">
        <v>25.7987</v>
      </c>
      <c r="AC244">
        <v>12.674712983102641</v>
      </c>
      <c r="AD244">
        <v>25.895976214392739</v>
      </c>
      <c r="AE244">
        <v>25.895976214392739</v>
      </c>
      <c r="AF244" t="s">
        <v>58</v>
      </c>
      <c r="AG244" t="b">
        <v>1</v>
      </c>
      <c r="AH244">
        <v>2.0431213116159781</v>
      </c>
      <c r="AI244">
        <v>1002.86</v>
      </c>
      <c r="AJ244">
        <v>91.310100000000006</v>
      </c>
      <c r="AK244">
        <v>26.0732</v>
      </c>
      <c r="AL244">
        <v>11.719599941409109</v>
      </c>
      <c r="AM244">
        <v>26.769922414532449</v>
      </c>
      <c r="AN244">
        <v>26.769922414532449</v>
      </c>
      <c r="AO244" t="s">
        <v>58</v>
      </c>
      <c r="AP244" t="b">
        <v>1</v>
      </c>
      <c r="AQ244">
        <v>2.2842010434115338</v>
      </c>
      <c r="AR244">
        <v>1002.86</v>
      </c>
      <c r="AS244">
        <v>26.769922414532449</v>
      </c>
      <c r="AT244">
        <v>2.2842010434115338</v>
      </c>
      <c r="AU244" s="5">
        <v>19.997132043655739</v>
      </c>
      <c r="AV244" s="5">
        <v>28.563507216306121</v>
      </c>
      <c r="AW244" s="5">
        <v>1.7062981794284158</v>
      </c>
      <c r="AX244" s="5">
        <v>2.4372425133201063</v>
      </c>
      <c r="AY244" t="s">
        <v>64</v>
      </c>
      <c r="AZ244" t="s">
        <v>7</v>
      </c>
      <c r="BA244" s="23">
        <f t="shared" si="3"/>
        <v>4.6063612035701466E-2</v>
      </c>
      <c r="BB244" s="23">
        <f>IF(AND(ISNUMBER(H244),Metadata!$H$5&gt;Metadata!$G$5),MAX(Metadata!$G$5-H244,0,H244-Metadata!$H$5)/(Metadata!$H$5-Metadata!$G$5),"Missing input")</f>
        <v>4.6063612035701466E-2</v>
      </c>
      <c r="BC244" s="23">
        <f>IF(AND(ISNUMBER(L244),Metadata!$H$8&gt;Metadata!$G$8),MAX(Metadata!$G$8-L244,0,L244-Metadata!$H$8)/(Metadata!$H$8-Metadata!$G$8),"Missing input")</f>
        <v>0</v>
      </c>
    </row>
    <row r="245" spans="1:55" x14ac:dyDescent="0.2">
      <c r="A245" t="s">
        <v>321</v>
      </c>
      <c r="B245" t="s">
        <v>318</v>
      </c>
      <c r="C245" t="s">
        <v>84</v>
      </c>
      <c r="D245" t="s">
        <v>55</v>
      </c>
      <c r="E245" t="s">
        <v>56</v>
      </c>
      <c r="F245">
        <v>4</v>
      </c>
      <c r="G245">
        <v>40.065365059576777</v>
      </c>
      <c r="H245">
        <v>25.23064360495534</v>
      </c>
      <c r="I245">
        <v>1.57</v>
      </c>
      <c r="J245">
        <v>1.5</v>
      </c>
      <c r="K245">
        <v>0.2</v>
      </c>
      <c r="L245">
        <v>0.25</v>
      </c>
      <c r="M245">
        <v>6</v>
      </c>
      <c r="N245">
        <v>190</v>
      </c>
      <c r="Q245">
        <v>0.1984163781214606</v>
      </c>
      <c r="R245">
        <v>2986346.165161836</v>
      </c>
      <c r="S245">
        <v>-3.9746956024845131E-3</v>
      </c>
      <c r="T245">
        <v>1323.2635029237761</v>
      </c>
      <c r="U245">
        <v>753.12627800274458</v>
      </c>
      <c r="V245">
        <v>292.75741215127789</v>
      </c>
      <c r="W245">
        <v>2.5725267636044622</v>
      </c>
      <c r="X245" t="s">
        <v>57</v>
      </c>
      <c r="Z245">
        <v>724.80600000000004</v>
      </c>
      <c r="AA245">
        <v>95.163399999999996</v>
      </c>
      <c r="AB245">
        <v>37.809100000000001</v>
      </c>
      <c r="AC245">
        <v>13.071839412136541</v>
      </c>
      <c r="AD245">
        <v>44.993446133990091</v>
      </c>
      <c r="AE245">
        <v>44.993446133990091</v>
      </c>
      <c r="AF245" t="s">
        <v>58</v>
      </c>
      <c r="AG245" t="b">
        <v>1</v>
      </c>
      <c r="AH245">
        <v>3.4420133781796589</v>
      </c>
      <c r="AI245">
        <v>723.94500000000005</v>
      </c>
      <c r="AJ245">
        <v>91.310100000000006</v>
      </c>
      <c r="AK245">
        <v>38.574199999999998</v>
      </c>
      <c r="AL245">
        <v>12.804393940195819</v>
      </c>
      <c r="AM245">
        <v>45.335648406206857</v>
      </c>
      <c r="AN245">
        <v>45.335648406206857</v>
      </c>
      <c r="AO245" t="s">
        <v>58</v>
      </c>
      <c r="AP245" t="b">
        <v>1</v>
      </c>
      <c r="AQ245">
        <v>3.5406321156590059</v>
      </c>
      <c r="AR245">
        <v>724.80600000000004</v>
      </c>
      <c r="AS245">
        <v>45.335648406206857</v>
      </c>
      <c r="AT245">
        <v>3.5406321156590059</v>
      </c>
      <c r="AU245" s="5">
        <v>33.865729359436521</v>
      </c>
      <c r="AV245" s="5">
        <v>48.373136849422714</v>
      </c>
      <c r="AW245" s="5">
        <v>2.6448521903972773</v>
      </c>
      <c r="AX245" s="5">
        <v>3.7778544674081593</v>
      </c>
      <c r="AY245" t="s">
        <v>59</v>
      </c>
      <c r="AZ245" t="s">
        <v>60</v>
      </c>
      <c r="BA245" s="23">
        <f t="shared" si="3"/>
        <v>0</v>
      </c>
      <c r="BB245" s="23">
        <f>IF(AND(ISNUMBER(H245),Metadata!$H$5&gt;Metadata!$G$5),MAX(Metadata!$G$5-H245,0,H245-Metadata!$H$5)/(Metadata!$H$5-Metadata!$G$5),"Missing input")</f>
        <v>0</v>
      </c>
      <c r="BC245" s="23">
        <f>IF(AND(ISNUMBER(L245),Metadata!$H$8&gt;Metadata!$G$8),MAX(Metadata!$G$8-L245,0,L245-Metadata!$H$8)/(Metadata!$H$8-Metadata!$G$8),"Missing input")</f>
        <v>0</v>
      </c>
    </row>
    <row r="246" spans="1:55" x14ac:dyDescent="0.2">
      <c r="A246" t="s">
        <v>322</v>
      </c>
      <c r="B246" t="s">
        <v>318</v>
      </c>
      <c r="C246" t="s">
        <v>84</v>
      </c>
      <c r="D246" t="s">
        <v>55</v>
      </c>
      <c r="E246" t="s">
        <v>56</v>
      </c>
      <c r="F246">
        <v>5</v>
      </c>
      <c r="G246">
        <v>44.691650234033148</v>
      </c>
      <c r="H246">
        <v>35.278860063057749</v>
      </c>
      <c r="I246">
        <v>1.57</v>
      </c>
      <c r="J246">
        <v>1.5</v>
      </c>
      <c r="K246">
        <v>0.2</v>
      </c>
      <c r="L246">
        <v>0.25</v>
      </c>
      <c r="M246">
        <v>6</v>
      </c>
      <c r="N246">
        <v>190</v>
      </c>
      <c r="Q246">
        <v>0.1984163781214606</v>
      </c>
      <c r="R246">
        <v>4683732.748780732</v>
      </c>
      <c r="S246">
        <v>-4.3104416438128753E-3</v>
      </c>
      <c r="T246">
        <v>2061.9786008310161</v>
      </c>
      <c r="U246">
        <v>770.83560231362162</v>
      </c>
      <c r="V246">
        <v>456.18995593606547</v>
      </c>
      <c r="W246">
        <v>1.689725063612872</v>
      </c>
      <c r="X246" t="s">
        <v>57</v>
      </c>
      <c r="Z246">
        <v>882.17100000000005</v>
      </c>
      <c r="AA246">
        <v>95.163399999999996</v>
      </c>
      <c r="AB246">
        <v>29.246099999999998</v>
      </c>
      <c r="AC246">
        <v>12.988373758782201</v>
      </c>
      <c r="AD246">
        <v>30.82982784701472</v>
      </c>
      <c r="AE246">
        <v>30.82982784701472</v>
      </c>
      <c r="AF246" t="s">
        <v>58</v>
      </c>
      <c r="AG246" t="b">
        <v>1</v>
      </c>
      <c r="AH246">
        <v>2.3736480347409832</v>
      </c>
      <c r="AI246">
        <v>885.64499999999998</v>
      </c>
      <c r="AJ246">
        <v>91.310100000000006</v>
      </c>
      <c r="AK246">
        <v>29.9315</v>
      </c>
      <c r="AL246">
        <v>12.46874998529988</v>
      </c>
      <c r="AM246">
        <v>31.923237269645469</v>
      </c>
      <c r="AN246">
        <v>31.923237269645469</v>
      </c>
      <c r="AO246" t="s">
        <v>58</v>
      </c>
      <c r="AP246" t="b">
        <v>1</v>
      </c>
      <c r="AQ246">
        <v>2.5602596336666941</v>
      </c>
      <c r="AR246">
        <v>885.64499999999998</v>
      </c>
      <c r="AS246">
        <v>31.923237269645469</v>
      </c>
      <c r="AT246">
        <v>2.5602596336666941</v>
      </c>
      <c r="AU246" s="5">
        <v>23.846658240425164</v>
      </c>
      <c r="AV246" s="5">
        <v>34.062094166711717</v>
      </c>
      <c r="AW246" s="5">
        <v>1.9125139463490204</v>
      </c>
      <c r="AX246" s="5">
        <v>2.7317970291223626</v>
      </c>
      <c r="AY246" t="s">
        <v>59</v>
      </c>
      <c r="AZ246" t="s">
        <v>60</v>
      </c>
      <c r="BA246" s="23">
        <f t="shared" si="3"/>
        <v>0</v>
      </c>
      <c r="BB246" s="23">
        <f>IF(AND(ISNUMBER(H246),Metadata!$H$5&gt;Metadata!$G$5),MAX(Metadata!$G$5-H246,0,H246-Metadata!$H$5)/(Metadata!$H$5-Metadata!$G$5),"Missing input")</f>
        <v>0</v>
      </c>
      <c r="BC246" s="23">
        <f>IF(AND(ISNUMBER(L246),Metadata!$H$8&gt;Metadata!$G$8),MAX(Metadata!$G$8-L246,0,L246-Metadata!$H$8)/(Metadata!$H$8-Metadata!$G$8),"Missing input")</f>
        <v>0</v>
      </c>
    </row>
    <row r="247" spans="1:55" x14ac:dyDescent="0.2">
      <c r="A247" t="s">
        <v>323</v>
      </c>
      <c r="B247" t="s">
        <v>318</v>
      </c>
      <c r="C247" t="s">
        <v>84</v>
      </c>
      <c r="D247" t="s">
        <v>55</v>
      </c>
      <c r="E247" t="s">
        <v>56</v>
      </c>
      <c r="F247">
        <v>6</v>
      </c>
      <c r="G247">
        <v>33.086500490231572</v>
      </c>
      <c r="H247">
        <v>19.79580616436397</v>
      </c>
      <c r="I247">
        <v>1.57</v>
      </c>
      <c r="J247">
        <v>1.5</v>
      </c>
      <c r="K247">
        <v>0.2</v>
      </c>
      <c r="L247">
        <v>0.25</v>
      </c>
      <c r="M247">
        <v>6</v>
      </c>
      <c r="N247">
        <v>190</v>
      </c>
      <c r="Q247">
        <v>0.1984163781214606</v>
      </c>
      <c r="R247">
        <v>1918643.176085273</v>
      </c>
      <c r="S247">
        <v>-3.5843039735669012E-3</v>
      </c>
      <c r="T247">
        <v>915.0391797947683</v>
      </c>
      <c r="U247">
        <v>724.34809556380162</v>
      </c>
      <c r="V247">
        <v>202.44229641477179</v>
      </c>
      <c r="W247">
        <v>3.578047218352673</v>
      </c>
      <c r="X247" t="s">
        <v>57</v>
      </c>
      <c r="Z247">
        <v>565.28599999999994</v>
      </c>
      <c r="AA247">
        <v>95.163399999999996</v>
      </c>
      <c r="AB247">
        <v>44.910200000000003</v>
      </c>
      <c r="AC247">
        <v>12.818043297915811</v>
      </c>
      <c r="AD247">
        <v>60.87921734036523</v>
      </c>
      <c r="AE247">
        <v>60.87921734036523</v>
      </c>
      <c r="AF247" t="s">
        <v>58</v>
      </c>
      <c r="AG247" t="b">
        <v>1</v>
      </c>
      <c r="AH247">
        <v>4.7494938131675744</v>
      </c>
      <c r="AI247">
        <v>562.81899999999996</v>
      </c>
      <c r="AJ247">
        <v>91.310100000000006</v>
      </c>
      <c r="AK247">
        <v>39.358900000000013</v>
      </c>
      <c r="AL247">
        <v>12.415427432992979</v>
      </c>
      <c r="AM247">
        <v>60.281764327144231</v>
      </c>
      <c r="AN247">
        <v>60.281764327144231</v>
      </c>
      <c r="AO247" t="s">
        <v>58</v>
      </c>
      <c r="AP247" t="b">
        <v>1</v>
      </c>
      <c r="AQ247">
        <v>4.8553917819172616</v>
      </c>
      <c r="AR247">
        <v>565.28599999999994</v>
      </c>
      <c r="AS247">
        <v>60.87921734036523</v>
      </c>
      <c r="AT247">
        <v>4.8553917819172616</v>
      </c>
      <c r="AU247" s="5">
        <v>45.476775353252826</v>
      </c>
      <c r="AV247" s="5">
        <v>64.9581249021697</v>
      </c>
      <c r="AW247" s="5">
        <v>3.6269776610921944</v>
      </c>
      <c r="AX247" s="5">
        <v>5.1807030313057183</v>
      </c>
      <c r="AY247" t="s">
        <v>59</v>
      </c>
      <c r="AZ247" t="s">
        <v>60</v>
      </c>
      <c r="BA247" s="23">
        <f t="shared" si="3"/>
        <v>0</v>
      </c>
      <c r="BB247" s="23">
        <f>IF(AND(ISNUMBER(H247),Metadata!$H$5&gt;Metadata!$G$5),MAX(Metadata!$G$5-H247,0,H247-Metadata!$H$5)/(Metadata!$H$5-Metadata!$G$5),"Missing input")</f>
        <v>0</v>
      </c>
      <c r="BC247" s="23">
        <f>IF(AND(ISNUMBER(L247),Metadata!$H$8&gt;Metadata!$G$8),MAX(Metadata!$G$8-L247,0,L247-Metadata!$H$8)/(Metadata!$H$8-Metadata!$G$8),"Missing input")</f>
        <v>0</v>
      </c>
    </row>
    <row r="248" spans="1:55" x14ac:dyDescent="0.2">
      <c r="A248" t="s">
        <v>324</v>
      </c>
      <c r="B248" t="s">
        <v>318</v>
      </c>
      <c r="C248" t="s">
        <v>84</v>
      </c>
      <c r="D248" t="s">
        <v>55</v>
      </c>
      <c r="E248" t="s">
        <v>56</v>
      </c>
      <c r="F248">
        <v>7</v>
      </c>
      <c r="G248">
        <v>42.943727860216583</v>
      </c>
      <c r="H248">
        <v>31.604415760045629</v>
      </c>
      <c r="I248">
        <v>1.57</v>
      </c>
      <c r="J248">
        <v>1.5</v>
      </c>
      <c r="K248">
        <v>0.2</v>
      </c>
      <c r="L248">
        <v>0.25</v>
      </c>
      <c r="M248">
        <v>6</v>
      </c>
      <c r="N248">
        <v>190</v>
      </c>
      <c r="Q248">
        <v>0.1984163781214606</v>
      </c>
      <c r="R248">
        <v>4025355.613741619</v>
      </c>
      <c r="S248">
        <v>-4.2424569506317351E-3</v>
      </c>
      <c r="T248">
        <v>1767.125197942283</v>
      </c>
      <c r="U248">
        <v>764.25751687900618</v>
      </c>
      <c r="V248">
        <v>390.95690219962017</v>
      </c>
      <c r="W248">
        <v>1.9548382764931489</v>
      </c>
      <c r="X248" t="s">
        <v>57</v>
      </c>
      <c r="Z248">
        <v>832.34799999999996</v>
      </c>
      <c r="AA248">
        <v>95.163399999999996</v>
      </c>
      <c r="AB248">
        <v>32.2684</v>
      </c>
      <c r="AC248">
        <v>13.17941071428571</v>
      </c>
      <c r="AD248">
        <v>35.618215350177721</v>
      </c>
      <c r="AE248">
        <v>35.618215350177721</v>
      </c>
      <c r="AF248" t="s">
        <v>58</v>
      </c>
      <c r="AG248" t="b">
        <v>1</v>
      </c>
      <c r="AH248">
        <v>2.7025650935644379</v>
      </c>
      <c r="AI248">
        <v>832.35400000000004</v>
      </c>
      <c r="AJ248">
        <v>91.310100000000006</v>
      </c>
      <c r="AK248">
        <v>32.289299999999997</v>
      </c>
      <c r="AL248">
        <v>12.72975407832107</v>
      </c>
      <c r="AM248">
        <v>35.249497353911543</v>
      </c>
      <c r="AN248">
        <v>35.249497353911543</v>
      </c>
      <c r="AO248" t="s">
        <v>58</v>
      </c>
      <c r="AP248" t="b">
        <v>1</v>
      </c>
      <c r="AQ248">
        <v>2.769063497773447</v>
      </c>
      <c r="AR248">
        <v>832.35400000000004</v>
      </c>
      <c r="AS248">
        <v>35.618215350177721</v>
      </c>
      <c r="AT248">
        <v>2.769063497773447</v>
      </c>
      <c r="AU248" s="5">
        <v>26.606806866582758</v>
      </c>
      <c r="AV248" s="5">
        <v>38.004635778639624</v>
      </c>
      <c r="AW248" s="5">
        <v>2.0684904328367648</v>
      </c>
      <c r="AX248" s="5">
        <v>2.9545907521242678</v>
      </c>
      <c r="AY248" t="s">
        <v>59</v>
      </c>
      <c r="AZ248" t="s">
        <v>60</v>
      </c>
      <c r="BA248" s="23">
        <f t="shared" si="3"/>
        <v>0</v>
      </c>
      <c r="BB248" s="23">
        <f>IF(AND(ISNUMBER(H248),Metadata!$H$5&gt;Metadata!$G$5),MAX(Metadata!$G$5-H248,0,H248-Metadata!$H$5)/(Metadata!$H$5-Metadata!$G$5),"Missing input")</f>
        <v>0</v>
      </c>
      <c r="BC248" s="23">
        <f>IF(AND(ISNUMBER(L248),Metadata!$H$8&gt;Metadata!$G$8),MAX(Metadata!$G$8-L248,0,L248-Metadata!$H$8)/(Metadata!$H$8-Metadata!$G$8),"Missing input")</f>
        <v>0</v>
      </c>
    </row>
    <row r="249" spans="1:55" x14ac:dyDescent="0.2">
      <c r="A249" t="s">
        <v>325</v>
      </c>
      <c r="B249" t="s">
        <v>318</v>
      </c>
      <c r="C249" t="s">
        <v>84</v>
      </c>
      <c r="D249" t="s">
        <v>55</v>
      </c>
      <c r="E249" t="s">
        <v>56</v>
      </c>
      <c r="F249">
        <v>8</v>
      </c>
      <c r="G249">
        <v>29.155454969686971</v>
      </c>
      <c r="H249">
        <v>7.3398505058277053</v>
      </c>
      <c r="I249">
        <v>1.57</v>
      </c>
      <c r="J249">
        <v>1.5</v>
      </c>
      <c r="K249">
        <v>0.2</v>
      </c>
      <c r="L249">
        <v>0.25</v>
      </c>
      <c r="M249">
        <v>6</v>
      </c>
      <c r="N249">
        <v>190</v>
      </c>
      <c r="Q249">
        <v>0.1984163781214606</v>
      </c>
      <c r="R249">
        <v>595711.36772068124</v>
      </c>
      <c r="S249">
        <v>-2.3220138832939791E-3</v>
      </c>
      <c r="T249">
        <v>480.50831710260849</v>
      </c>
      <c r="U249">
        <v>706.7858992589853</v>
      </c>
      <c r="V249">
        <v>106.3071498014621</v>
      </c>
      <c r="W249">
        <v>6.6485264686238876</v>
      </c>
      <c r="X249" t="s">
        <v>57</v>
      </c>
      <c r="Z249">
        <v>338.79899999999998</v>
      </c>
      <c r="AA249">
        <v>95.163399999999996</v>
      </c>
      <c r="AB249">
        <v>65.006200000000007</v>
      </c>
      <c r="AC249">
        <v>12.8105076582618</v>
      </c>
      <c r="AE249">
        <v>95.163399999999996</v>
      </c>
      <c r="AF249" t="s">
        <v>62</v>
      </c>
      <c r="AG249" t="b">
        <v>0</v>
      </c>
      <c r="AH249">
        <v>7.4285424542583884</v>
      </c>
      <c r="AI249">
        <v>338.45800000000003</v>
      </c>
      <c r="AJ249">
        <v>91.310100000000006</v>
      </c>
      <c r="AK249">
        <v>64.811499999999995</v>
      </c>
      <c r="AL249">
        <v>12.510685858377929</v>
      </c>
      <c r="AN249">
        <v>91.310100000000006</v>
      </c>
      <c r="AO249" t="s">
        <v>62</v>
      </c>
      <c r="AP249" t="b">
        <v>0</v>
      </c>
      <c r="AQ249">
        <v>7.298568682295949</v>
      </c>
      <c r="AR249">
        <v>338.79899999999998</v>
      </c>
      <c r="AS249">
        <v>95.163399999999996</v>
      </c>
      <c r="AT249">
        <v>7.4285424542583884</v>
      </c>
      <c r="AU249" s="5">
        <v>71.087059799999992</v>
      </c>
      <c r="AV249" s="5">
        <v>101.53934779999999</v>
      </c>
      <c r="AW249" s="5">
        <v>5.5491212133310164</v>
      </c>
      <c r="AX249" s="5">
        <v>7.9262547986936998</v>
      </c>
      <c r="AY249" t="s">
        <v>59</v>
      </c>
      <c r="AZ249" t="s">
        <v>60</v>
      </c>
      <c r="BA249" s="23">
        <f t="shared" si="3"/>
        <v>0</v>
      </c>
      <c r="BB249" s="23">
        <f>IF(AND(ISNUMBER(H249),Metadata!$H$5&gt;Metadata!$G$5),MAX(Metadata!$G$5-H249,0,H249-Metadata!$H$5)/(Metadata!$H$5-Metadata!$G$5),"Missing input")</f>
        <v>0</v>
      </c>
      <c r="BC249" s="23">
        <f>IF(AND(ISNUMBER(L249),Metadata!$H$8&gt;Metadata!$G$8),MAX(Metadata!$G$8-L249,0,L249-Metadata!$H$8)/(Metadata!$H$8-Metadata!$G$8),"Missing input")</f>
        <v>0</v>
      </c>
    </row>
    <row r="250" spans="1:55" x14ac:dyDescent="0.2">
      <c r="A250" t="s">
        <v>326</v>
      </c>
      <c r="B250" t="s">
        <v>318</v>
      </c>
      <c r="C250" t="s">
        <v>84</v>
      </c>
      <c r="D250" t="s">
        <v>55</v>
      </c>
      <c r="E250" t="s">
        <v>56</v>
      </c>
      <c r="F250">
        <v>9</v>
      </c>
      <c r="G250">
        <v>59.748609235827082</v>
      </c>
      <c r="H250">
        <v>37.783512331141722</v>
      </c>
      <c r="I250">
        <v>1.57</v>
      </c>
      <c r="J250">
        <v>1.5</v>
      </c>
      <c r="K250">
        <v>0.2</v>
      </c>
      <c r="L250">
        <v>0.25</v>
      </c>
      <c r="M250">
        <v>6</v>
      </c>
      <c r="N250">
        <v>190</v>
      </c>
      <c r="Q250">
        <v>0.1984163781214606</v>
      </c>
      <c r="R250">
        <v>6726258.2664913209</v>
      </c>
      <c r="S250">
        <v>-4.3252313496890864E-3</v>
      </c>
      <c r="T250">
        <v>2958.9793454838732</v>
      </c>
      <c r="U250">
        <v>822.87545002106197</v>
      </c>
      <c r="V250">
        <v>654.64144811590108</v>
      </c>
      <c r="W250">
        <v>1.256986480751179</v>
      </c>
      <c r="X250" t="s">
        <v>57</v>
      </c>
      <c r="Z250">
        <v>1127.55</v>
      </c>
      <c r="AA250">
        <v>95.163399999999996</v>
      </c>
      <c r="AB250">
        <v>27.734999999999999</v>
      </c>
      <c r="AC250">
        <v>13.403699564994881</v>
      </c>
      <c r="AD250">
        <v>28.29893971525572</v>
      </c>
      <c r="AE250">
        <v>28.29893971525572</v>
      </c>
      <c r="AF250" t="s">
        <v>58</v>
      </c>
      <c r="AG250" t="b">
        <v>1</v>
      </c>
      <c r="AH250">
        <v>2.1112782764216291</v>
      </c>
      <c r="AI250">
        <v>1131.3699999999999</v>
      </c>
      <c r="AJ250">
        <v>91.310100000000006</v>
      </c>
      <c r="AK250">
        <v>28.431100000000001</v>
      </c>
      <c r="AL250">
        <v>12.69086239913544</v>
      </c>
      <c r="AM250">
        <v>29.334320343948178</v>
      </c>
      <c r="AN250">
        <v>29.334320343948178</v>
      </c>
      <c r="AO250" t="s">
        <v>58</v>
      </c>
      <c r="AP250" t="b">
        <v>1</v>
      </c>
      <c r="AQ250">
        <v>2.311452084292283</v>
      </c>
      <c r="AR250">
        <v>1131.3699999999999</v>
      </c>
      <c r="AS250">
        <v>29.334320343948178</v>
      </c>
      <c r="AT250">
        <v>2.311452084292283</v>
      </c>
      <c r="AU250" s="5">
        <v>21.91273729692929</v>
      </c>
      <c r="AV250" s="5">
        <v>31.299719806992705</v>
      </c>
      <c r="AW250" s="5">
        <v>1.7266547069663354</v>
      </c>
      <c r="AX250" s="5">
        <v>2.4663193739398657</v>
      </c>
      <c r="AY250" t="s">
        <v>59</v>
      </c>
      <c r="AZ250" t="s">
        <v>60</v>
      </c>
      <c r="BA250" s="23">
        <f t="shared" si="3"/>
        <v>0</v>
      </c>
      <c r="BB250" s="23">
        <f>IF(AND(ISNUMBER(H250),Metadata!$H$5&gt;Metadata!$G$5),MAX(Metadata!$G$5-H250,0,H250-Metadata!$H$5)/(Metadata!$H$5-Metadata!$G$5),"Missing input")</f>
        <v>0</v>
      </c>
      <c r="BC250" s="23">
        <f>IF(AND(ISNUMBER(L250),Metadata!$H$8&gt;Metadata!$G$8),MAX(Metadata!$G$8-L250,0,L250-Metadata!$H$8)/(Metadata!$H$8-Metadata!$G$8),"Missing input")</f>
        <v>0</v>
      </c>
    </row>
    <row r="251" spans="1:55" x14ac:dyDescent="0.2">
      <c r="A251" t="s">
        <v>327</v>
      </c>
      <c r="B251" t="s">
        <v>318</v>
      </c>
      <c r="C251" t="s">
        <v>84</v>
      </c>
      <c r="D251" t="s">
        <v>55</v>
      </c>
      <c r="E251" t="s">
        <v>56</v>
      </c>
      <c r="F251">
        <v>10</v>
      </c>
      <c r="G251">
        <v>34.746337553007109</v>
      </c>
      <c r="H251">
        <v>23.7414613202046</v>
      </c>
      <c r="I251">
        <v>1.57</v>
      </c>
      <c r="J251">
        <v>1.5</v>
      </c>
      <c r="K251">
        <v>0.2</v>
      </c>
      <c r="L251">
        <v>0.25</v>
      </c>
      <c r="M251">
        <v>6</v>
      </c>
      <c r="N251">
        <v>190</v>
      </c>
      <c r="Q251">
        <v>0.1984163781214606</v>
      </c>
      <c r="R251">
        <v>2428507.8121004719</v>
      </c>
      <c r="S251">
        <v>-3.8824354498332709E-3</v>
      </c>
      <c r="T251">
        <v>1111.217336052197</v>
      </c>
      <c r="U251">
        <v>731.44834288856589</v>
      </c>
      <c r="V251">
        <v>245.84454337438001</v>
      </c>
      <c r="W251">
        <v>2.975247417937168</v>
      </c>
      <c r="X251" t="s">
        <v>57</v>
      </c>
      <c r="Z251">
        <v>635.52499999999998</v>
      </c>
      <c r="AA251">
        <v>95.163399999999996</v>
      </c>
      <c r="AB251">
        <v>37.809100000000001</v>
      </c>
      <c r="AC251">
        <v>12.980974807903401</v>
      </c>
      <c r="AD251">
        <v>49.037111810220487</v>
      </c>
      <c r="AE251">
        <v>49.037111810220487</v>
      </c>
      <c r="AF251" t="s">
        <v>58</v>
      </c>
      <c r="AG251" t="b">
        <v>1</v>
      </c>
      <c r="AH251">
        <v>3.777613972439458</v>
      </c>
      <c r="AI251">
        <v>635.21799999999996</v>
      </c>
      <c r="AJ251">
        <v>91.310100000000006</v>
      </c>
      <c r="AK251">
        <v>39.358900000000013</v>
      </c>
      <c r="AL251">
        <v>12.743135393921509</v>
      </c>
      <c r="AM251">
        <v>49.134329716109193</v>
      </c>
      <c r="AN251">
        <v>49.134329716109193</v>
      </c>
      <c r="AO251" t="s">
        <v>58</v>
      </c>
      <c r="AP251" t="b">
        <v>1</v>
      </c>
      <c r="AQ251">
        <v>3.8557488559327648</v>
      </c>
      <c r="AR251">
        <v>635.52499999999998</v>
      </c>
      <c r="AS251">
        <v>49.134329716109193</v>
      </c>
      <c r="AT251">
        <v>3.8557488559327648</v>
      </c>
      <c r="AU251" s="5">
        <v>36.703344297933569</v>
      </c>
      <c r="AV251" s="5">
        <v>52.426329807088507</v>
      </c>
      <c r="AW251" s="5">
        <v>2.8802443953817751</v>
      </c>
      <c r="AX251" s="5">
        <v>4.1140840292802601</v>
      </c>
      <c r="AY251" t="s">
        <v>59</v>
      </c>
      <c r="AZ251" t="s">
        <v>60</v>
      </c>
      <c r="BA251" s="23">
        <f t="shared" si="3"/>
        <v>0</v>
      </c>
      <c r="BB251" s="23">
        <f>IF(AND(ISNUMBER(H251),Metadata!$H$5&gt;Metadata!$G$5),MAX(Metadata!$G$5-H251,0,H251-Metadata!$H$5)/(Metadata!$H$5-Metadata!$G$5),"Missing input")</f>
        <v>0</v>
      </c>
      <c r="BC251" s="23">
        <f>IF(AND(ISNUMBER(L251),Metadata!$H$8&gt;Metadata!$G$8),MAX(Metadata!$G$8-L251,0,L251-Metadata!$H$8)/(Metadata!$H$8-Metadata!$G$8),"Missing input")</f>
        <v>0</v>
      </c>
    </row>
    <row r="252" spans="1:55" x14ac:dyDescent="0.2">
      <c r="A252" t="s">
        <v>328</v>
      </c>
      <c r="B252" t="s">
        <v>318</v>
      </c>
      <c r="C252" t="s">
        <v>84</v>
      </c>
      <c r="D252" t="s">
        <v>55</v>
      </c>
      <c r="E252" t="s">
        <v>56</v>
      </c>
      <c r="F252">
        <v>11</v>
      </c>
      <c r="G252">
        <v>24.502161634428251</v>
      </c>
      <c r="H252">
        <v>33.048591474592847</v>
      </c>
      <c r="I252">
        <v>1.57</v>
      </c>
      <c r="J252">
        <v>1.5</v>
      </c>
      <c r="K252">
        <v>0.2</v>
      </c>
      <c r="L252">
        <v>0.25</v>
      </c>
      <c r="M252">
        <v>6</v>
      </c>
      <c r="N252">
        <v>190</v>
      </c>
      <c r="Q252">
        <v>0.1984163781214606</v>
      </c>
      <c r="R252">
        <v>2383007.1153019848</v>
      </c>
      <c r="S252">
        <v>-4.2761262031531183E-3</v>
      </c>
      <c r="T252">
        <v>1134.971999997148</v>
      </c>
      <c r="U252">
        <v>684.38581388777777</v>
      </c>
      <c r="V252">
        <v>251.099999999369</v>
      </c>
      <c r="W252">
        <v>2.7255508318976411</v>
      </c>
      <c r="X252" t="s">
        <v>57</v>
      </c>
      <c r="Z252">
        <v>563.00099999999998</v>
      </c>
      <c r="AA252">
        <v>95.163399999999996</v>
      </c>
      <c r="AB252">
        <v>31.512799999999999</v>
      </c>
      <c r="AC252">
        <v>13.138038652986589</v>
      </c>
      <c r="AD252">
        <v>35.419127372115568</v>
      </c>
      <c r="AE252">
        <v>35.419127372115568</v>
      </c>
      <c r="AF252" t="s">
        <v>58</v>
      </c>
      <c r="AG252" t="b">
        <v>1</v>
      </c>
      <c r="AH252">
        <v>2.6959219947236162</v>
      </c>
      <c r="AI252">
        <v>564.60799999999995</v>
      </c>
      <c r="AJ252">
        <v>91.310100000000006</v>
      </c>
      <c r="AK252">
        <v>32.289299999999997</v>
      </c>
      <c r="AL252">
        <v>12.693363430851059</v>
      </c>
      <c r="AM252">
        <v>35.55254708081884</v>
      </c>
      <c r="AN252">
        <v>35.55254708081884</v>
      </c>
      <c r="AO252" t="s">
        <v>58</v>
      </c>
      <c r="AP252" t="b">
        <v>1</v>
      </c>
      <c r="AQ252">
        <v>2.8008767947515638</v>
      </c>
      <c r="AR252">
        <v>564.60799999999995</v>
      </c>
      <c r="AS252">
        <v>35.55254708081884</v>
      </c>
      <c r="AT252">
        <v>2.8008767947515638</v>
      </c>
      <c r="AU252" s="5">
        <v>26.557752669371673</v>
      </c>
      <c r="AV252" s="5">
        <v>37.934567735233699</v>
      </c>
      <c r="AW252" s="5">
        <v>2.0922549656794183</v>
      </c>
      <c r="AX252" s="5">
        <v>2.9885355399999183</v>
      </c>
      <c r="AY252" t="s">
        <v>59</v>
      </c>
      <c r="AZ252" t="s">
        <v>60</v>
      </c>
      <c r="BA252" s="23">
        <f t="shared" si="3"/>
        <v>0</v>
      </c>
      <c r="BB252" s="23">
        <f>IF(AND(ISNUMBER(H252),Metadata!$H$5&gt;Metadata!$G$5),MAX(Metadata!$G$5-H252,0,H252-Metadata!$H$5)/(Metadata!$H$5-Metadata!$G$5),"Missing input")</f>
        <v>0</v>
      </c>
      <c r="BC252" s="23">
        <f>IF(AND(ISNUMBER(L252),Metadata!$H$8&gt;Metadata!$G$8),MAX(Metadata!$G$8-L252,0,L252-Metadata!$H$8)/(Metadata!$H$8-Metadata!$G$8),"Missing input")</f>
        <v>0</v>
      </c>
    </row>
    <row r="253" spans="1:55" x14ac:dyDescent="0.2">
      <c r="A253" t="s">
        <v>329</v>
      </c>
      <c r="B253" t="s">
        <v>318</v>
      </c>
      <c r="C253" t="s">
        <v>84</v>
      </c>
      <c r="D253" t="s">
        <v>55</v>
      </c>
      <c r="E253" t="s">
        <v>56</v>
      </c>
      <c r="F253">
        <v>12</v>
      </c>
      <c r="G253">
        <v>56.241153781572699</v>
      </c>
      <c r="H253">
        <v>14.78764467513273</v>
      </c>
      <c r="I253">
        <v>1.57</v>
      </c>
      <c r="J253">
        <v>1.5</v>
      </c>
      <c r="K253">
        <v>0.2</v>
      </c>
      <c r="L253">
        <v>0.25</v>
      </c>
      <c r="M253">
        <v>6</v>
      </c>
      <c r="N253">
        <v>190</v>
      </c>
      <c r="Q253">
        <v>0.1984163781214606</v>
      </c>
      <c r="R253">
        <v>2448743.9197241841</v>
      </c>
      <c r="S253">
        <v>-3.1111519853819392E-3</v>
      </c>
      <c r="T253">
        <v>1060.8343060705299</v>
      </c>
      <c r="U253">
        <v>811.40111588676484</v>
      </c>
      <c r="V253">
        <v>234.69785532533859</v>
      </c>
      <c r="W253">
        <v>3.4572157242851631</v>
      </c>
      <c r="X253" t="s">
        <v>57</v>
      </c>
      <c r="Z253">
        <v>704.67100000000005</v>
      </c>
      <c r="AA253">
        <v>95.163399999999996</v>
      </c>
      <c r="AB253">
        <v>51.296399999999998</v>
      </c>
      <c r="AC253">
        <v>12.07627217027559</v>
      </c>
      <c r="AD253">
        <v>73.26518064285662</v>
      </c>
      <c r="AE253">
        <v>73.26518064285662</v>
      </c>
      <c r="AF253" t="s">
        <v>58</v>
      </c>
      <c r="AG253" t="b">
        <v>1</v>
      </c>
      <c r="AH253">
        <v>6.0668706045886216</v>
      </c>
      <c r="AI253">
        <v>703.24599999999998</v>
      </c>
      <c r="AJ253">
        <v>82.2286</v>
      </c>
      <c r="AK253">
        <v>51.757599999999996</v>
      </c>
      <c r="AL253">
        <v>11.83359321187921</v>
      </c>
      <c r="AN253">
        <v>82.2286</v>
      </c>
      <c r="AO253" t="s">
        <v>62</v>
      </c>
      <c r="AP253" t="b">
        <v>0</v>
      </c>
      <c r="AQ253">
        <v>6.9487431693574209</v>
      </c>
      <c r="AR253">
        <v>704.67100000000005</v>
      </c>
      <c r="AS253">
        <v>82.2286</v>
      </c>
      <c r="AT253">
        <v>6.9487431693574209</v>
      </c>
      <c r="AU253" s="5">
        <v>61.424764199999998</v>
      </c>
      <c r="AV253" s="5">
        <v>87.737916200000001</v>
      </c>
      <c r="AW253" s="5">
        <v>5.190711147509993</v>
      </c>
      <c r="AX253" s="5">
        <v>7.4143089617043678</v>
      </c>
      <c r="AY253" t="s">
        <v>59</v>
      </c>
      <c r="AZ253" t="s">
        <v>60</v>
      </c>
      <c r="BA253" s="23">
        <f t="shared" si="3"/>
        <v>0</v>
      </c>
      <c r="BB253" s="23">
        <f>IF(AND(ISNUMBER(H253),Metadata!$H$5&gt;Metadata!$G$5),MAX(Metadata!$G$5-H253,0,H253-Metadata!$H$5)/(Metadata!$H$5-Metadata!$G$5),"Missing input")</f>
        <v>0</v>
      </c>
      <c r="BC253" s="23">
        <f>IF(AND(ISNUMBER(L253),Metadata!$H$8&gt;Metadata!$G$8),MAX(Metadata!$G$8-L253,0,L253-Metadata!$H$8)/(Metadata!$H$8-Metadata!$G$8),"Missing input")</f>
        <v>0</v>
      </c>
    </row>
    <row r="254" spans="1:55" x14ac:dyDescent="0.2">
      <c r="A254" t="s">
        <v>330</v>
      </c>
      <c r="B254" t="s">
        <v>318</v>
      </c>
      <c r="C254" t="s">
        <v>84</v>
      </c>
      <c r="D254" t="s">
        <v>55</v>
      </c>
      <c r="E254" t="s">
        <v>56</v>
      </c>
      <c r="F254">
        <v>13</v>
      </c>
      <c r="G254">
        <v>49.119901382435643</v>
      </c>
      <c r="H254">
        <v>22.54933477691009</v>
      </c>
      <c r="I254">
        <v>1.57</v>
      </c>
      <c r="J254">
        <v>1.5</v>
      </c>
      <c r="K254">
        <v>0.2</v>
      </c>
      <c r="L254">
        <v>0.25</v>
      </c>
      <c r="M254">
        <v>6</v>
      </c>
      <c r="N254">
        <v>190</v>
      </c>
      <c r="Q254">
        <v>0.1984163781214606</v>
      </c>
      <c r="R254">
        <v>3276584.6264440492</v>
      </c>
      <c r="S254">
        <v>-3.8004037174165718E-3</v>
      </c>
      <c r="T254">
        <v>1412.968799359719</v>
      </c>
      <c r="U254">
        <v>786.94653369120795</v>
      </c>
      <c r="V254">
        <v>312.60371667250428</v>
      </c>
      <c r="W254">
        <v>2.5173934016774462</v>
      </c>
      <c r="X254" t="s">
        <v>57</v>
      </c>
      <c r="Z254">
        <v>800.32600000000002</v>
      </c>
      <c r="AA254">
        <v>95.163399999999996</v>
      </c>
      <c r="AB254">
        <v>41.324300000000001</v>
      </c>
      <c r="AC254">
        <v>12.907935890450251</v>
      </c>
      <c r="AD254">
        <v>51.045859968444802</v>
      </c>
      <c r="AE254">
        <v>51.045859968444802</v>
      </c>
      <c r="AF254" t="s">
        <v>58</v>
      </c>
      <c r="AG254" t="b">
        <v>1</v>
      </c>
      <c r="AH254">
        <v>3.9546105900797319</v>
      </c>
      <c r="AI254">
        <v>799.35599999999999</v>
      </c>
      <c r="AJ254">
        <v>91.310100000000006</v>
      </c>
      <c r="AK254">
        <v>39.358900000000013</v>
      </c>
      <c r="AL254">
        <v>12.725523543178101</v>
      </c>
      <c r="AM254">
        <v>50.817404885316712</v>
      </c>
      <c r="AN254">
        <v>50.817404885316712</v>
      </c>
      <c r="AO254" t="s">
        <v>58</v>
      </c>
      <c r="AP254" t="b">
        <v>1</v>
      </c>
      <c r="AQ254">
        <v>3.993344927058732</v>
      </c>
      <c r="AR254">
        <v>800.32600000000002</v>
      </c>
      <c r="AS254">
        <v>51.045859968444802</v>
      </c>
      <c r="AT254">
        <v>3.993344927058732</v>
      </c>
      <c r="AU254" s="5">
        <v>38.131257396428268</v>
      </c>
      <c r="AV254" s="5">
        <v>54.465932586330602</v>
      </c>
      <c r="AW254" s="5">
        <v>2.9830286605128729</v>
      </c>
      <c r="AX254" s="5">
        <v>4.2608990371716668</v>
      </c>
      <c r="AY254" t="s">
        <v>59</v>
      </c>
      <c r="AZ254" t="s">
        <v>60</v>
      </c>
      <c r="BA254" s="23">
        <f t="shared" si="3"/>
        <v>0</v>
      </c>
      <c r="BB254" s="23">
        <f>IF(AND(ISNUMBER(H254),Metadata!$H$5&gt;Metadata!$G$5),MAX(Metadata!$G$5-H254,0,H254-Metadata!$H$5)/(Metadata!$H$5-Metadata!$G$5),"Missing input")</f>
        <v>0</v>
      </c>
      <c r="BC254" s="23">
        <f>IF(AND(ISNUMBER(L254),Metadata!$H$8&gt;Metadata!$G$8),MAX(Metadata!$G$8-L254,0,L254-Metadata!$H$8)/(Metadata!$H$8-Metadata!$G$8),"Missing input")</f>
        <v>0</v>
      </c>
    </row>
    <row r="255" spans="1:55" x14ac:dyDescent="0.2">
      <c r="A255" t="s">
        <v>331</v>
      </c>
      <c r="B255" t="s">
        <v>318</v>
      </c>
      <c r="C255" t="s">
        <v>84</v>
      </c>
      <c r="D255" t="s">
        <v>55</v>
      </c>
      <c r="E255" t="s">
        <v>56</v>
      </c>
      <c r="F255">
        <v>14</v>
      </c>
      <c r="G255">
        <v>37.958866376576751</v>
      </c>
      <c r="H255">
        <v>9.8264864335603903</v>
      </c>
      <c r="I255">
        <v>1.57</v>
      </c>
      <c r="J255">
        <v>1.5</v>
      </c>
      <c r="K255">
        <v>0.2</v>
      </c>
      <c r="L255">
        <v>0.25</v>
      </c>
      <c r="M255">
        <v>6</v>
      </c>
      <c r="N255">
        <v>190</v>
      </c>
      <c r="Q255">
        <v>0.1984163781214606</v>
      </c>
      <c r="R255">
        <v>1072728.181448289</v>
      </c>
      <c r="S255">
        <v>-2.585725569799583E-3</v>
      </c>
      <c r="T255">
        <v>610.81355109044614</v>
      </c>
      <c r="U255">
        <v>744.72430032575369</v>
      </c>
      <c r="V255">
        <v>135.13574139169171</v>
      </c>
      <c r="W255">
        <v>5.5109350987106103</v>
      </c>
      <c r="X255" t="s">
        <v>57</v>
      </c>
      <c r="Z255">
        <v>438.22199999999998</v>
      </c>
      <c r="AA255">
        <v>95.163399999999996</v>
      </c>
      <c r="AB255">
        <v>65.006200000000007</v>
      </c>
      <c r="AC255">
        <v>12.14087251082251</v>
      </c>
      <c r="AE255">
        <v>95.163399999999996</v>
      </c>
      <c r="AF255" t="s">
        <v>62</v>
      </c>
      <c r="AG255" t="b">
        <v>0</v>
      </c>
      <c r="AH255">
        <v>7.8382669709421853</v>
      </c>
      <c r="AI255">
        <v>437.62099999999998</v>
      </c>
      <c r="AJ255">
        <v>91.310100000000006</v>
      </c>
      <c r="AK255">
        <v>64.811499999999995</v>
      </c>
      <c r="AL255">
        <v>11.81718028985507</v>
      </c>
      <c r="AN255">
        <v>91.310100000000006</v>
      </c>
      <c r="AO255" t="s">
        <v>62</v>
      </c>
      <c r="AP255" t="b">
        <v>0</v>
      </c>
      <c r="AQ255">
        <v>7.7268940441222531</v>
      </c>
      <c r="AR255">
        <v>438.22199999999998</v>
      </c>
      <c r="AS255">
        <v>95.163399999999996</v>
      </c>
      <c r="AT255">
        <v>7.8382669709421853</v>
      </c>
      <c r="AU255" s="5">
        <v>71.087059799999992</v>
      </c>
      <c r="AV255" s="5">
        <v>101.53934779999999</v>
      </c>
      <c r="AW255" s="5">
        <v>5.8551854272938124</v>
      </c>
      <c r="AX255" s="5">
        <v>8.3634308579953114</v>
      </c>
      <c r="AY255" t="s">
        <v>59</v>
      </c>
      <c r="AZ255" t="s">
        <v>60</v>
      </c>
      <c r="BA255" s="23">
        <f t="shared" si="3"/>
        <v>0</v>
      </c>
      <c r="BB255" s="23">
        <f>IF(AND(ISNUMBER(H255),Metadata!$H$5&gt;Metadata!$G$5),MAX(Metadata!$G$5-H255,0,H255-Metadata!$H$5)/(Metadata!$H$5-Metadata!$G$5),"Missing input")</f>
        <v>0</v>
      </c>
      <c r="BC255" s="23">
        <f>IF(AND(ISNUMBER(L255),Metadata!$H$8&gt;Metadata!$G$8),MAX(Metadata!$G$8-L255,0,L255-Metadata!$H$8)/(Metadata!$H$8-Metadata!$G$8),"Missing input")</f>
        <v>0</v>
      </c>
    </row>
    <row r="256" spans="1:55" x14ac:dyDescent="0.2">
      <c r="A256" t="s">
        <v>332</v>
      </c>
      <c r="B256" t="s">
        <v>318</v>
      </c>
      <c r="C256" t="s">
        <v>84</v>
      </c>
      <c r="D256" t="s">
        <v>55</v>
      </c>
      <c r="E256" t="s">
        <v>56</v>
      </c>
      <c r="F256">
        <v>15</v>
      </c>
      <c r="G256">
        <v>27.308053040943211</v>
      </c>
      <c r="H256">
        <v>5.2772178758296739</v>
      </c>
      <c r="I256">
        <v>1.57</v>
      </c>
      <c r="J256">
        <v>1.5</v>
      </c>
      <c r="K256">
        <v>0.2</v>
      </c>
      <c r="L256">
        <v>0.25</v>
      </c>
      <c r="M256">
        <v>6</v>
      </c>
      <c r="N256">
        <v>190</v>
      </c>
      <c r="Q256">
        <v>0.1984163781214606</v>
      </c>
      <c r="R256">
        <v>386052.96198531118</v>
      </c>
      <c r="S256">
        <v>-2.1112732683781581E-3</v>
      </c>
      <c r="T256">
        <v>428.52672237905682</v>
      </c>
      <c r="U256">
        <v>698.12364149884274</v>
      </c>
      <c r="V256">
        <v>94.806796986516986</v>
      </c>
      <c r="W256">
        <v>7.3636454736270318</v>
      </c>
      <c r="X256" t="s">
        <v>57</v>
      </c>
      <c r="Z256">
        <v>295.94499999999999</v>
      </c>
      <c r="AA256">
        <v>95.163399999999996</v>
      </c>
      <c r="AB256">
        <v>77.850200000000001</v>
      </c>
      <c r="AC256">
        <v>13.14787648879717</v>
      </c>
      <c r="AE256">
        <v>95.163399999999996</v>
      </c>
      <c r="AF256" t="s">
        <v>62</v>
      </c>
      <c r="AG256" t="b">
        <v>0</v>
      </c>
      <c r="AH256">
        <v>7.2379292641732134</v>
      </c>
      <c r="AI256">
        <v>296.05399999999997</v>
      </c>
      <c r="AJ256">
        <v>91.310100000000006</v>
      </c>
      <c r="AK256">
        <v>78.431799999999996</v>
      </c>
      <c r="AL256">
        <v>12.98542400354296</v>
      </c>
      <c r="AN256">
        <v>91.310100000000006</v>
      </c>
      <c r="AO256" t="s">
        <v>62</v>
      </c>
      <c r="AP256" t="b">
        <v>0</v>
      </c>
      <c r="AQ256">
        <v>7.0317380452950067</v>
      </c>
      <c r="AR256">
        <v>296.05399999999997</v>
      </c>
      <c r="AS256">
        <v>95.163399999999996</v>
      </c>
      <c r="AT256">
        <v>7.2379292641732134</v>
      </c>
      <c r="AU256" s="5">
        <v>71.087059799999992</v>
      </c>
      <c r="AV256" s="5">
        <v>101.53934779999999</v>
      </c>
      <c r="AW256" s="5">
        <v>5.4067331603373905</v>
      </c>
      <c r="AX256" s="5">
        <v>7.7228705248728184</v>
      </c>
      <c r="AY256" t="s">
        <v>59</v>
      </c>
      <c r="AZ256" t="s">
        <v>60</v>
      </c>
      <c r="BA256" s="23">
        <f t="shared" si="3"/>
        <v>0</v>
      </c>
      <c r="BB256" s="23">
        <f>IF(AND(ISNUMBER(H256),Metadata!$H$5&gt;Metadata!$G$5),MAX(Metadata!$G$5-H256,0,H256-Metadata!$H$5)/(Metadata!$H$5-Metadata!$G$5),"Missing input")</f>
        <v>0</v>
      </c>
      <c r="BC256" s="23">
        <f>IF(AND(ISNUMBER(L256),Metadata!$H$8&gt;Metadata!$G$8),MAX(Metadata!$G$8-L256,0,L256-Metadata!$H$8)/(Metadata!$H$8-Metadata!$G$8),"Missing input")</f>
        <v>0</v>
      </c>
    </row>
    <row r="257" spans="1:55" x14ac:dyDescent="0.2">
      <c r="A257" t="s">
        <v>333</v>
      </c>
      <c r="B257" t="s">
        <v>318</v>
      </c>
      <c r="C257" t="s">
        <v>84</v>
      </c>
      <c r="D257" t="s">
        <v>55</v>
      </c>
      <c r="E257" t="s">
        <v>56</v>
      </c>
      <c r="F257">
        <v>16</v>
      </c>
      <c r="G257">
        <v>31.1252119640606</v>
      </c>
      <c r="H257">
        <v>39.5069074866867</v>
      </c>
      <c r="I257">
        <v>1.57</v>
      </c>
      <c r="J257">
        <v>1.5</v>
      </c>
      <c r="K257">
        <v>0.2</v>
      </c>
      <c r="L257">
        <v>0.25</v>
      </c>
      <c r="M257">
        <v>6</v>
      </c>
      <c r="N257">
        <v>190</v>
      </c>
      <c r="Q257">
        <v>0.1984163781214606</v>
      </c>
      <c r="R257">
        <v>3642703.933702969</v>
      </c>
      <c r="S257">
        <v>-4.3219290363717116E-3</v>
      </c>
      <c r="T257">
        <v>1657.5346780090949</v>
      </c>
      <c r="U257">
        <v>715.72465594585606</v>
      </c>
      <c r="V257">
        <v>366.71121194891492</v>
      </c>
      <c r="W257">
        <v>1.9517392231944111</v>
      </c>
      <c r="X257" t="s">
        <v>57</v>
      </c>
      <c r="Z257">
        <v>682.60299999999995</v>
      </c>
      <c r="AA257">
        <v>95.163399999999996</v>
      </c>
      <c r="AB257">
        <v>25.7987</v>
      </c>
      <c r="AC257">
        <v>12.2312625</v>
      </c>
      <c r="AD257">
        <v>28.082854200812442</v>
      </c>
      <c r="AE257">
        <v>28.082854200812442</v>
      </c>
      <c r="AF257" t="s">
        <v>58</v>
      </c>
      <c r="AG257" t="b">
        <v>1</v>
      </c>
      <c r="AH257">
        <v>2.2959898212316552</v>
      </c>
      <c r="AI257">
        <v>688.83100000000002</v>
      </c>
      <c r="AJ257">
        <v>91.310100000000006</v>
      </c>
      <c r="AK257">
        <v>27.359300000000001</v>
      </c>
      <c r="AL257">
        <v>11.675250737763919</v>
      </c>
      <c r="AM257">
        <v>29.160839545076509</v>
      </c>
      <c r="AN257">
        <v>29.160839545076509</v>
      </c>
      <c r="AO257" t="s">
        <v>58</v>
      </c>
      <c r="AP257" t="b">
        <v>1</v>
      </c>
      <c r="AQ257">
        <v>2.4976628082817078</v>
      </c>
      <c r="AR257">
        <v>688.83100000000002</v>
      </c>
      <c r="AS257">
        <v>29.160839545076509</v>
      </c>
      <c r="AT257">
        <v>2.4976628082817078</v>
      </c>
      <c r="AU257" s="5">
        <v>21.783147140172151</v>
      </c>
      <c r="AV257" s="5">
        <v>31.114615794596634</v>
      </c>
      <c r="AW257" s="5">
        <v>1.8657541177864359</v>
      </c>
      <c r="AX257" s="5">
        <v>2.665006216436582</v>
      </c>
      <c r="AY257" t="s">
        <v>59</v>
      </c>
      <c r="AZ257" t="s">
        <v>60</v>
      </c>
      <c r="BA257" s="23">
        <f t="shared" si="3"/>
        <v>0</v>
      </c>
      <c r="BB257" s="23">
        <f>IF(AND(ISNUMBER(H257),Metadata!$H$5&gt;Metadata!$G$5),MAX(Metadata!$G$5-H257,0,H257-Metadata!$H$5)/(Metadata!$H$5-Metadata!$G$5),"Missing input")</f>
        <v>0</v>
      </c>
      <c r="BC257" s="23">
        <f>IF(AND(ISNUMBER(L257),Metadata!$H$8&gt;Metadata!$G$8),MAX(Metadata!$G$8-L257,0,L257-Metadata!$H$8)/(Metadata!$H$8-Metadata!$G$8),"Missing input")</f>
        <v>0</v>
      </c>
    </row>
    <row r="258" spans="1:55" x14ac:dyDescent="0.2">
      <c r="A258" t="s">
        <v>334</v>
      </c>
      <c r="B258" t="s">
        <v>318</v>
      </c>
      <c r="C258" t="s">
        <v>84</v>
      </c>
      <c r="D258" t="s">
        <v>55</v>
      </c>
      <c r="E258" t="s">
        <v>56</v>
      </c>
      <c r="F258">
        <v>17</v>
      </c>
      <c r="G258">
        <v>46.390186033042063</v>
      </c>
      <c r="H258">
        <v>16.21387510983789</v>
      </c>
      <c r="I258">
        <v>1.57</v>
      </c>
      <c r="J258">
        <v>1.5</v>
      </c>
      <c r="K258">
        <v>0.2</v>
      </c>
      <c r="L258">
        <v>0.25</v>
      </c>
      <c r="M258">
        <v>6</v>
      </c>
      <c r="N258">
        <v>190</v>
      </c>
      <c r="Q258">
        <v>0.1984163781214606</v>
      </c>
      <c r="R258">
        <v>2210215.3729856689</v>
      </c>
      <c r="S258">
        <v>-3.254464479594211E-3</v>
      </c>
      <c r="T258">
        <v>992.19235058261199</v>
      </c>
      <c r="U258">
        <v>777.10568399344538</v>
      </c>
      <c r="V258">
        <v>219.5115819873036</v>
      </c>
      <c r="W258">
        <v>3.5401580042295571</v>
      </c>
      <c r="X258" t="s">
        <v>57</v>
      </c>
      <c r="Z258">
        <v>645.70699999999999</v>
      </c>
      <c r="AA258">
        <v>95.163399999999996</v>
      </c>
      <c r="AB258">
        <v>50.954999999999998</v>
      </c>
      <c r="AC258">
        <v>12.299429482390609</v>
      </c>
      <c r="AD258">
        <v>70.193815131843166</v>
      </c>
      <c r="AE258">
        <v>70.193815131843166</v>
      </c>
      <c r="AF258" t="s">
        <v>58</v>
      </c>
      <c r="AG258" t="b">
        <v>1</v>
      </c>
      <c r="AH258">
        <v>5.7070789529173966</v>
      </c>
      <c r="AI258">
        <v>644.07799999999997</v>
      </c>
      <c r="AJ258">
        <v>91.310100000000006</v>
      </c>
      <c r="AK258">
        <v>51.070500000000003</v>
      </c>
      <c r="AL258">
        <v>11.99852638699098</v>
      </c>
      <c r="AM258">
        <v>70.208042796013174</v>
      </c>
      <c r="AN258">
        <v>70.208042796013174</v>
      </c>
      <c r="AO258" t="s">
        <v>58</v>
      </c>
      <c r="AP258" t="b">
        <v>1</v>
      </c>
      <c r="AQ258">
        <v>5.8513887898878982</v>
      </c>
      <c r="AR258">
        <v>645.70699999999999</v>
      </c>
      <c r="AS258">
        <v>70.208042796013174</v>
      </c>
      <c r="AT258">
        <v>5.8513887898878982</v>
      </c>
      <c r="AU258" s="5">
        <v>52.445407968621844</v>
      </c>
      <c r="AV258" s="5">
        <v>74.911981663346054</v>
      </c>
      <c r="AW258" s="5">
        <v>4.37098742604626</v>
      </c>
      <c r="AX258" s="5">
        <v>6.2434318388103875</v>
      </c>
      <c r="AY258" t="s">
        <v>59</v>
      </c>
      <c r="AZ258" t="s">
        <v>60</v>
      </c>
      <c r="BA258" s="23">
        <f t="shared" ref="BA258:BA321" si="4">IF(COUNT(BB258:BC258)=2,MAX(BB258:BC258),"Missing input")</f>
        <v>0</v>
      </c>
      <c r="BB258" s="23">
        <f>IF(AND(ISNUMBER(H258),Metadata!$H$5&gt;Metadata!$G$5),MAX(Metadata!$G$5-H258,0,H258-Metadata!$H$5)/(Metadata!$H$5-Metadata!$G$5),"Missing input")</f>
        <v>0</v>
      </c>
      <c r="BC258" s="23">
        <f>IF(AND(ISNUMBER(L258),Metadata!$H$8&gt;Metadata!$G$8),MAX(Metadata!$G$8-L258,0,L258-Metadata!$H$8)/(Metadata!$H$8-Metadata!$G$8),"Missing input")</f>
        <v>0</v>
      </c>
    </row>
    <row r="259" spans="1:55" x14ac:dyDescent="0.2">
      <c r="A259" t="s">
        <v>335</v>
      </c>
      <c r="B259" t="s">
        <v>318</v>
      </c>
      <c r="C259" t="s">
        <v>84</v>
      </c>
      <c r="D259" t="s">
        <v>55</v>
      </c>
      <c r="E259" t="s">
        <v>56</v>
      </c>
      <c r="F259">
        <v>18</v>
      </c>
      <c r="G259">
        <v>54.165408264435399</v>
      </c>
      <c r="H259">
        <v>18.25275816413232</v>
      </c>
      <c r="I259">
        <v>1.57</v>
      </c>
      <c r="J259">
        <v>1.5</v>
      </c>
      <c r="K259">
        <v>0.2</v>
      </c>
      <c r="L259">
        <v>0.25</v>
      </c>
      <c r="M259">
        <v>6</v>
      </c>
      <c r="N259">
        <v>190</v>
      </c>
      <c r="Q259">
        <v>0.1984163781214606</v>
      </c>
      <c r="R259">
        <v>2919725.6187367002</v>
      </c>
      <c r="S259">
        <v>-3.4482511460104488E-3</v>
      </c>
      <c r="T259">
        <v>1250.244632367107</v>
      </c>
      <c r="U259">
        <v>804.44140245145684</v>
      </c>
      <c r="V259">
        <v>276.6027947714839</v>
      </c>
      <c r="W259">
        <v>2.908290941586646</v>
      </c>
      <c r="X259" t="s">
        <v>57</v>
      </c>
      <c r="Z259">
        <v>771.43899999999996</v>
      </c>
      <c r="AA259">
        <v>95.163399999999996</v>
      </c>
      <c r="AB259">
        <v>44.910200000000003</v>
      </c>
      <c r="AC259">
        <v>12.467347989874931</v>
      </c>
      <c r="AD259">
        <v>62.50885040360113</v>
      </c>
      <c r="AE259">
        <v>62.50885040360113</v>
      </c>
      <c r="AF259" t="s">
        <v>58</v>
      </c>
      <c r="AG259" t="b">
        <v>1</v>
      </c>
      <c r="AH259">
        <v>5.0138048969489164</v>
      </c>
      <c r="AI259">
        <v>769.47400000000005</v>
      </c>
      <c r="AJ259">
        <v>91.310100000000006</v>
      </c>
      <c r="AK259">
        <v>46.948399999999999</v>
      </c>
      <c r="AL259">
        <v>12.293111873664211</v>
      </c>
      <c r="AM259">
        <v>61.896175128316933</v>
      </c>
      <c r="AN259">
        <v>61.896175128316933</v>
      </c>
      <c r="AO259" t="s">
        <v>58</v>
      </c>
      <c r="AP259" t="b">
        <v>1</v>
      </c>
      <c r="AQ259">
        <v>5.0350290279972452</v>
      </c>
      <c r="AR259">
        <v>771.43899999999996</v>
      </c>
      <c r="AS259">
        <v>62.50885040360113</v>
      </c>
      <c r="AT259">
        <v>5.0350290279972452</v>
      </c>
      <c r="AU259" s="5">
        <v>46.694111251490042</v>
      </c>
      <c r="AV259" s="5">
        <v>66.696943380642409</v>
      </c>
      <c r="AW259" s="5">
        <v>3.7611666839139422</v>
      </c>
      <c r="AX259" s="5">
        <v>5.3723759728730602</v>
      </c>
      <c r="AY259" t="s">
        <v>59</v>
      </c>
      <c r="AZ259" t="s">
        <v>60</v>
      </c>
      <c r="BA259" s="23">
        <f t="shared" si="4"/>
        <v>0</v>
      </c>
      <c r="BB259" s="23">
        <f>IF(AND(ISNUMBER(H259),Metadata!$H$5&gt;Metadata!$G$5),MAX(Metadata!$G$5-H259,0,H259-Metadata!$H$5)/(Metadata!$H$5-Metadata!$G$5),"Missing input")</f>
        <v>0</v>
      </c>
      <c r="BC259" s="23">
        <f>IF(AND(ISNUMBER(L259),Metadata!$H$8&gt;Metadata!$G$8),MAX(Metadata!$G$8-L259,0,L259-Metadata!$H$8)/(Metadata!$H$8-Metadata!$G$8),"Missing input")</f>
        <v>0</v>
      </c>
    </row>
    <row r="260" spans="1:55" x14ac:dyDescent="0.2">
      <c r="A260" t="s">
        <v>336</v>
      </c>
      <c r="B260" t="s">
        <v>318</v>
      </c>
      <c r="C260" t="s">
        <v>84</v>
      </c>
      <c r="D260" t="s">
        <v>55</v>
      </c>
      <c r="E260" t="s">
        <v>56</v>
      </c>
      <c r="F260">
        <v>19</v>
      </c>
      <c r="G260">
        <v>21.707483118551171</v>
      </c>
      <c r="H260">
        <v>43.497365085878002</v>
      </c>
      <c r="I260">
        <v>1.57</v>
      </c>
      <c r="J260">
        <v>1.5</v>
      </c>
      <c r="K260">
        <v>0.2</v>
      </c>
      <c r="L260">
        <v>0.25</v>
      </c>
      <c r="M260">
        <v>6</v>
      </c>
      <c r="N260">
        <v>190</v>
      </c>
      <c r="Q260">
        <v>0.1984163781214606</v>
      </c>
      <c r="R260">
        <v>2786376.2799094608</v>
      </c>
      <c r="S260">
        <v>-4.2759843422899993E-3</v>
      </c>
      <c r="T260">
        <v>1327.844178866673</v>
      </c>
      <c r="U260">
        <v>669.89609780516332</v>
      </c>
      <c r="V260">
        <v>293.77083603244972</v>
      </c>
      <c r="W260">
        <v>2.2803356073479231</v>
      </c>
      <c r="X260" t="s">
        <v>57</v>
      </c>
      <c r="Z260">
        <v>543.678</v>
      </c>
      <c r="AA260">
        <v>95.163399999999996</v>
      </c>
      <c r="AB260">
        <v>25.7987</v>
      </c>
      <c r="AC260">
        <v>12.30130781307721</v>
      </c>
      <c r="AD260">
        <v>25.869747583333648</v>
      </c>
      <c r="AE260">
        <v>25.869747583333648</v>
      </c>
      <c r="AF260" t="s">
        <v>58</v>
      </c>
      <c r="AG260" t="b">
        <v>1</v>
      </c>
      <c r="AH260">
        <v>2.1030079058612099</v>
      </c>
      <c r="AI260">
        <v>544.09400000000005</v>
      </c>
      <c r="AJ260">
        <v>91.310100000000006</v>
      </c>
      <c r="AK260">
        <v>26.0732</v>
      </c>
      <c r="AL260">
        <v>11.33673538083538</v>
      </c>
      <c r="AM260">
        <v>27.472679114844361</v>
      </c>
      <c r="AN260">
        <v>27.472679114844361</v>
      </c>
      <c r="AO260" t="s">
        <v>58</v>
      </c>
      <c r="AP260" t="b">
        <v>1</v>
      </c>
      <c r="AQ260">
        <v>2.4233324843487658</v>
      </c>
      <c r="AR260">
        <v>544.09400000000005</v>
      </c>
      <c r="AS260">
        <v>27.472679114844361</v>
      </c>
      <c r="AT260">
        <v>2.4233324843487658</v>
      </c>
      <c r="AU260" s="5">
        <v>20.522091298788737</v>
      </c>
      <c r="AV260" s="5">
        <v>29.313348615538931</v>
      </c>
      <c r="AW260" s="5">
        <v>1.810229365808528</v>
      </c>
      <c r="AX260" s="5">
        <v>2.585695760800133</v>
      </c>
      <c r="AY260" t="s">
        <v>64</v>
      </c>
      <c r="AZ260" t="s">
        <v>7</v>
      </c>
      <c r="BA260" s="23">
        <f t="shared" si="4"/>
        <v>9.4596678167087334E-2</v>
      </c>
      <c r="BB260" s="23">
        <f>IF(AND(ISNUMBER(H260),Metadata!$H$5&gt;Metadata!$G$5),MAX(Metadata!$G$5-H260,0,H260-Metadata!$H$5)/(Metadata!$H$5-Metadata!$G$5),"Missing input")</f>
        <v>9.4596678167087334E-2</v>
      </c>
      <c r="BC260" s="23">
        <f>IF(AND(ISNUMBER(L260),Metadata!$H$8&gt;Metadata!$G$8),MAX(Metadata!$G$8-L260,0,L260-Metadata!$H$8)/(Metadata!$H$8-Metadata!$G$8),"Missing input")</f>
        <v>0</v>
      </c>
    </row>
    <row r="261" spans="1:55" x14ac:dyDescent="0.2">
      <c r="A261" t="s">
        <v>337</v>
      </c>
      <c r="B261" t="s">
        <v>318</v>
      </c>
      <c r="C261" t="s">
        <v>84</v>
      </c>
      <c r="D261" t="s">
        <v>55</v>
      </c>
      <c r="E261" t="s">
        <v>56</v>
      </c>
      <c r="F261">
        <v>20</v>
      </c>
      <c r="G261">
        <v>53.035991243371583</v>
      </c>
      <c r="H261">
        <v>30.34654288470276</v>
      </c>
      <c r="I261">
        <v>1.57</v>
      </c>
      <c r="J261">
        <v>1.5</v>
      </c>
      <c r="K261">
        <v>0.2</v>
      </c>
      <c r="L261">
        <v>0.25</v>
      </c>
      <c r="M261">
        <v>6</v>
      </c>
      <c r="N261">
        <v>190</v>
      </c>
      <c r="Q261">
        <v>0.1984163781214606</v>
      </c>
      <c r="R261">
        <v>4782098.2730990862</v>
      </c>
      <c r="S261">
        <v>-4.205375216716164E-3</v>
      </c>
      <c r="T261">
        <v>2064.392118408005</v>
      </c>
      <c r="U261">
        <v>800.59853302729891</v>
      </c>
      <c r="V261">
        <v>456.72392000177121</v>
      </c>
      <c r="W261">
        <v>1.7529157067669989</v>
      </c>
      <c r="X261" t="s">
        <v>57</v>
      </c>
      <c r="Z261">
        <v>969.08100000000002</v>
      </c>
      <c r="AA261">
        <v>95.163399999999996</v>
      </c>
      <c r="AB261">
        <v>33.5276</v>
      </c>
      <c r="AC261">
        <v>13.465074204906861</v>
      </c>
      <c r="AD261">
        <v>36.866530051274466</v>
      </c>
      <c r="AE261">
        <v>36.866530051274466</v>
      </c>
      <c r="AF261" t="s">
        <v>58</v>
      </c>
      <c r="AG261" t="b">
        <v>1</v>
      </c>
      <c r="AH261">
        <v>2.737937384544066</v>
      </c>
      <c r="AI261">
        <v>965.79700000000003</v>
      </c>
      <c r="AJ261">
        <v>91.310100000000006</v>
      </c>
      <c r="AK261">
        <v>32.289299999999997</v>
      </c>
      <c r="AL261">
        <v>13.014160712321241</v>
      </c>
      <c r="AM261">
        <v>36.547367168117667</v>
      </c>
      <c r="AN261">
        <v>36.547367168117667</v>
      </c>
      <c r="AO261" t="s">
        <v>58</v>
      </c>
      <c r="AP261" t="b">
        <v>1</v>
      </c>
      <c r="AQ261">
        <v>2.8082769205021592</v>
      </c>
      <c r="AR261">
        <v>969.08100000000002</v>
      </c>
      <c r="AS261">
        <v>36.866530051274466</v>
      </c>
      <c r="AT261">
        <v>2.8082769205021592</v>
      </c>
      <c r="AU261" s="5">
        <v>27.539297948302025</v>
      </c>
      <c r="AV261" s="5">
        <v>39.336587564709852</v>
      </c>
      <c r="AW261" s="5">
        <v>2.0977828596151129</v>
      </c>
      <c r="AX261" s="5">
        <v>2.9964314741758038</v>
      </c>
      <c r="AY261" t="s">
        <v>59</v>
      </c>
      <c r="AZ261" t="s">
        <v>60</v>
      </c>
      <c r="BA261" s="23">
        <f t="shared" si="4"/>
        <v>0</v>
      </c>
      <c r="BB261" s="23">
        <f>IF(AND(ISNUMBER(H261),Metadata!$H$5&gt;Metadata!$G$5),MAX(Metadata!$G$5-H261,0,H261-Metadata!$H$5)/(Metadata!$H$5-Metadata!$G$5),"Missing input")</f>
        <v>0</v>
      </c>
      <c r="BC261" s="23">
        <f>IF(AND(ISNUMBER(L261),Metadata!$H$8&gt;Metadata!$G$8),MAX(Metadata!$G$8-L261,0,L261-Metadata!$H$8)/(Metadata!$H$8-Metadata!$G$8),"Missing input")</f>
        <v>0</v>
      </c>
    </row>
    <row r="262" spans="1:55" x14ac:dyDescent="0.2">
      <c r="A262" t="s">
        <v>338</v>
      </c>
      <c r="B262" t="s">
        <v>339</v>
      </c>
      <c r="C262" t="s">
        <v>84</v>
      </c>
      <c r="D262" t="s">
        <v>55</v>
      </c>
      <c r="E262" t="s">
        <v>56</v>
      </c>
      <c r="F262">
        <v>1</v>
      </c>
      <c r="G262">
        <v>22.11413992487228</v>
      </c>
      <c r="H262">
        <v>28.832065765515338</v>
      </c>
      <c r="I262">
        <v>1.57</v>
      </c>
      <c r="J262">
        <v>1.5</v>
      </c>
      <c r="K262">
        <v>0.7</v>
      </c>
      <c r="L262">
        <v>0.25</v>
      </c>
      <c r="M262">
        <v>10</v>
      </c>
      <c r="N262">
        <v>150</v>
      </c>
      <c r="Q262">
        <v>0.69813170079773179</v>
      </c>
      <c r="R262">
        <v>1866510.334985178</v>
      </c>
      <c r="S262">
        <v>-5.472482804454031E-3</v>
      </c>
      <c r="T262">
        <v>931.93139645531812</v>
      </c>
      <c r="U262">
        <v>672.06023102885479</v>
      </c>
      <c r="V262">
        <v>206.1795124901146</v>
      </c>
      <c r="W262">
        <v>3.2595878364057969</v>
      </c>
      <c r="X262" t="s">
        <v>57</v>
      </c>
      <c r="Z262">
        <v>544.27800000000002</v>
      </c>
      <c r="AA262">
        <v>95.163399999999996</v>
      </c>
      <c r="AB262">
        <v>37.809100000000001</v>
      </c>
      <c r="AC262">
        <v>15.949643369771859</v>
      </c>
      <c r="AD262">
        <v>48.244949242745918</v>
      </c>
      <c r="AE262">
        <v>48.244949242745918</v>
      </c>
      <c r="AF262" t="s">
        <v>58</v>
      </c>
      <c r="AG262" t="b">
        <v>1</v>
      </c>
      <c r="AH262">
        <v>3.0248293409607441</v>
      </c>
      <c r="AI262">
        <v>544.53099999999995</v>
      </c>
      <c r="AJ262">
        <v>91.310100000000006</v>
      </c>
      <c r="AK262">
        <v>39.358900000000013</v>
      </c>
      <c r="AL262">
        <v>15.718151193711179</v>
      </c>
      <c r="AM262">
        <v>48.449159847660503</v>
      </c>
      <c r="AN262">
        <v>48.449159847660503</v>
      </c>
      <c r="AO262" t="s">
        <v>58</v>
      </c>
      <c r="AP262" t="b">
        <v>1</v>
      </c>
      <c r="AQ262">
        <v>3.082370136956373</v>
      </c>
      <c r="AR262">
        <v>544.53099999999995</v>
      </c>
      <c r="AS262">
        <v>48.449159847660503</v>
      </c>
      <c r="AT262">
        <v>3.082370136956373</v>
      </c>
      <c r="AU262" s="5">
        <v>36.191522406202395</v>
      </c>
      <c r="AV262" s="5">
        <v>51.695253557453754</v>
      </c>
      <c r="AW262" s="5">
        <v>2.3025304923064107</v>
      </c>
      <c r="AX262" s="5">
        <v>3.2888889361324498</v>
      </c>
      <c r="AY262" t="s">
        <v>59</v>
      </c>
      <c r="AZ262" t="s">
        <v>60</v>
      </c>
      <c r="BA262" s="23">
        <f t="shared" si="4"/>
        <v>0</v>
      </c>
      <c r="BB262" s="23">
        <f>IF(AND(ISNUMBER(H262),Metadata!$H$5&gt;Metadata!$G$5),MAX(Metadata!$G$5-H262,0,H262-Metadata!$H$5)/(Metadata!$H$5-Metadata!$G$5),"Missing input")</f>
        <v>0</v>
      </c>
      <c r="BC262" s="23">
        <f>IF(AND(ISNUMBER(L262),Metadata!$H$8&gt;Metadata!$G$8),MAX(Metadata!$G$8-L262,0,L262-Metadata!$H$8)/(Metadata!$H$8-Metadata!$G$8),"Missing input")</f>
        <v>0</v>
      </c>
    </row>
    <row r="263" spans="1:55" x14ac:dyDescent="0.2">
      <c r="A263" t="s">
        <v>340</v>
      </c>
      <c r="B263" t="s">
        <v>339</v>
      </c>
      <c r="C263" t="s">
        <v>84</v>
      </c>
      <c r="D263" t="s">
        <v>55</v>
      </c>
      <c r="E263" t="s">
        <v>56</v>
      </c>
      <c r="F263">
        <v>2</v>
      </c>
      <c r="G263">
        <v>39.289372610104301</v>
      </c>
      <c r="H263">
        <v>11.43599740060767</v>
      </c>
      <c r="I263">
        <v>1.57</v>
      </c>
      <c r="J263">
        <v>1.5</v>
      </c>
      <c r="K263">
        <v>0.7</v>
      </c>
      <c r="L263">
        <v>0.25</v>
      </c>
      <c r="M263">
        <v>10</v>
      </c>
      <c r="N263">
        <v>150</v>
      </c>
      <c r="Q263">
        <v>0.69813170079773179</v>
      </c>
      <c r="R263">
        <v>1301660.814121977</v>
      </c>
      <c r="S263">
        <v>-3.444599003920835E-3</v>
      </c>
      <c r="T263">
        <v>682.24591859950192</v>
      </c>
      <c r="U263">
        <v>750.05745558684532</v>
      </c>
      <c r="V263">
        <v>150.93936252201371</v>
      </c>
      <c r="W263">
        <v>4.9692634383390439</v>
      </c>
      <c r="X263" t="s">
        <v>57</v>
      </c>
      <c r="Z263">
        <v>551.87400000000002</v>
      </c>
      <c r="AA263">
        <v>95.163399999999996</v>
      </c>
      <c r="AB263">
        <v>63.280900000000003</v>
      </c>
      <c r="AC263">
        <v>15.21821588010204</v>
      </c>
      <c r="AE263">
        <v>95.163399999999996</v>
      </c>
      <c r="AF263" t="s">
        <v>62</v>
      </c>
      <c r="AG263" t="b">
        <v>0</v>
      </c>
      <c r="AH263">
        <v>6.253256015669157</v>
      </c>
      <c r="AI263">
        <v>548.779</v>
      </c>
      <c r="AJ263">
        <v>91.310100000000006</v>
      </c>
      <c r="AK263">
        <v>62.662199999999999</v>
      </c>
      <c r="AL263">
        <v>14.783795286052809</v>
      </c>
      <c r="AN263">
        <v>91.310100000000006</v>
      </c>
      <c r="AO263" t="s">
        <v>62</v>
      </c>
      <c r="AP263" t="b">
        <v>0</v>
      </c>
      <c r="AQ263">
        <v>6.176363933160177</v>
      </c>
      <c r="AR263">
        <v>551.87400000000002</v>
      </c>
      <c r="AS263">
        <v>95.163399999999996</v>
      </c>
      <c r="AT263">
        <v>6.253256015669157</v>
      </c>
      <c r="AU263" s="5">
        <v>71.087059799999992</v>
      </c>
      <c r="AV263" s="5">
        <v>101.53934779999999</v>
      </c>
      <c r="AW263" s="5">
        <v>4.6711822437048607</v>
      </c>
      <c r="AX263" s="5">
        <v>6.6722241687189898</v>
      </c>
      <c r="AY263" t="s">
        <v>59</v>
      </c>
      <c r="AZ263" t="s">
        <v>60</v>
      </c>
      <c r="BA263" s="23">
        <f t="shared" si="4"/>
        <v>0</v>
      </c>
      <c r="BB263" s="23">
        <f>IF(AND(ISNUMBER(H263),Metadata!$H$5&gt;Metadata!$G$5),MAX(Metadata!$G$5-H263,0,H263-Metadata!$H$5)/(Metadata!$H$5-Metadata!$G$5),"Missing input")</f>
        <v>0</v>
      </c>
      <c r="BC263" s="23">
        <f>IF(AND(ISNUMBER(L263),Metadata!$H$8&gt;Metadata!$G$8),MAX(Metadata!$G$8-L263,0,L263-Metadata!$H$8)/(Metadata!$H$8-Metadata!$G$8),"Missing input")</f>
        <v>0</v>
      </c>
    </row>
    <row r="264" spans="1:55" x14ac:dyDescent="0.2">
      <c r="A264" t="s">
        <v>341</v>
      </c>
      <c r="B264" t="s">
        <v>339</v>
      </c>
      <c r="C264" t="s">
        <v>84</v>
      </c>
      <c r="D264" t="s">
        <v>55</v>
      </c>
      <c r="E264" t="s">
        <v>56</v>
      </c>
      <c r="F264">
        <v>3</v>
      </c>
      <c r="G264">
        <v>50.720967279676117</v>
      </c>
      <c r="H264">
        <v>41.572102032205443</v>
      </c>
      <c r="I264">
        <v>1.57</v>
      </c>
      <c r="J264">
        <v>1.5</v>
      </c>
      <c r="K264">
        <v>0.7</v>
      </c>
      <c r="L264">
        <v>0.25</v>
      </c>
      <c r="M264">
        <v>10</v>
      </c>
      <c r="N264">
        <v>150</v>
      </c>
      <c r="Q264">
        <v>0.69813170079773179</v>
      </c>
      <c r="R264">
        <v>6279453.0057685468</v>
      </c>
      <c r="S264">
        <v>-5.7974706023437052E-3</v>
      </c>
      <c r="T264">
        <v>2795.5189136654449</v>
      </c>
      <c r="U264">
        <v>792.59154081609961</v>
      </c>
      <c r="V264">
        <v>618.47763576669149</v>
      </c>
      <c r="W264">
        <v>1.2815201310126101</v>
      </c>
      <c r="X264" t="s">
        <v>57</v>
      </c>
      <c r="Z264">
        <v>1028.06</v>
      </c>
      <c r="AA264">
        <v>95.163399999999996</v>
      </c>
      <c r="AB264">
        <v>30.505400000000002</v>
      </c>
      <c r="AC264">
        <v>14.23697317228226</v>
      </c>
      <c r="AD264">
        <v>32.373467435363096</v>
      </c>
      <c r="AE264">
        <v>32.373467435363096</v>
      </c>
      <c r="AF264" t="s">
        <v>58</v>
      </c>
      <c r="AG264" t="b">
        <v>1</v>
      </c>
      <c r="AH264">
        <v>2.2739009931121101</v>
      </c>
      <c r="AI264">
        <v>1032.0999999999999</v>
      </c>
      <c r="AJ264">
        <v>91.310100000000006</v>
      </c>
      <c r="AK264">
        <v>31.217600000000001</v>
      </c>
      <c r="AL264">
        <v>13.428357854609921</v>
      </c>
      <c r="AM264">
        <v>32.292145042469087</v>
      </c>
      <c r="AN264">
        <v>32.292145042469087</v>
      </c>
      <c r="AO264" t="s">
        <v>58</v>
      </c>
      <c r="AP264" t="b">
        <v>1</v>
      </c>
      <c r="AQ264">
        <v>2.4047724518589049</v>
      </c>
      <c r="AR264">
        <v>1032.0999999999999</v>
      </c>
      <c r="AS264">
        <v>32.373467435363096</v>
      </c>
      <c r="AT264">
        <v>2.4047724518589049</v>
      </c>
      <c r="AU264" s="5">
        <v>24.182980174216233</v>
      </c>
      <c r="AV264" s="5">
        <v>34.542489753532422</v>
      </c>
      <c r="AW264" s="5">
        <v>1.796365021538602</v>
      </c>
      <c r="AX264" s="5">
        <v>2.5658922061334515</v>
      </c>
      <c r="AY264" t="s">
        <v>64</v>
      </c>
      <c r="AZ264" t="s">
        <v>7</v>
      </c>
      <c r="BA264" s="23">
        <f t="shared" si="4"/>
        <v>4.6063612035701466E-2</v>
      </c>
      <c r="BB264" s="23">
        <f>IF(AND(ISNUMBER(H264),Metadata!$H$5&gt;Metadata!$G$5),MAX(Metadata!$G$5-H264,0,H264-Metadata!$H$5)/(Metadata!$H$5-Metadata!$G$5),"Missing input")</f>
        <v>4.6063612035701466E-2</v>
      </c>
      <c r="BC264" s="23">
        <f>IF(AND(ISNUMBER(L264),Metadata!$H$8&gt;Metadata!$G$8),MAX(Metadata!$G$8-L264,0,L264-Metadata!$H$8)/(Metadata!$H$8-Metadata!$G$8),"Missing input")</f>
        <v>0</v>
      </c>
    </row>
    <row r="265" spans="1:55" x14ac:dyDescent="0.2">
      <c r="A265" t="s">
        <v>342</v>
      </c>
      <c r="B265" t="s">
        <v>339</v>
      </c>
      <c r="C265" t="s">
        <v>84</v>
      </c>
      <c r="D265" t="s">
        <v>55</v>
      </c>
      <c r="E265" t="s">
        <v>56</v>
      </c>
      <c r="F265">
        <v>4</v>
      </c>
      <c r="G265">
        <v>40.065365059576777</v>
      </c>
      <c r="H265">
        <v>25.23064360495534</v>
      </c>
      <c r="I265">
        <v>1.57</v>
      </c>
      <c r="J265">
        <v>1.5</v>
      </c>
      <c r="K265">
        <v>0.7</v>
      </c>
      <c r="L265">
        <v>0.25</v>
      </c>
      <c r="M265">
        <v>10</v>
      </c>
      <c r="N265">
        <v>150</v>
      </c>
      <c r="Q265">
        <v>0.69813170079773179</v>
      </c>
      <c r="R265">
        <v>2986346.165161836</v>
      </c>
      <c r="S265">
        <v>-5.1942897725150853E-3</v>
      </c>
      <c r="T265">
        <v>1323.2635029237761</v>
      </c>
      <c r="U265">
        <v>753.12627800274458</v>
      </c>
      <c r="V265">
        <v>292.75741215127789</v>
      </c>
      <c r="W265">
        <v>2.5725267636044622</v>
      </c>
      <c r="X265" t="s">
        <v>57</v>
      </c>
      <c r="Z265">
        <v>771.03099999999995</v>
      </c>
      <c r="AA265">
        <v>95.163399999999996</v>
      </c>
      <c r="AB265">
        <v>43.7149</v>
      </c>
      <c r="AC265">
        <v>15.374117396193769</v>
      </c>
      <c r="AD265">
        <v>52.0536314046428</v>
      </c>
      <c r="AE265">
        <v>52.0536314046428</v>
      </c>
      <c r="AF265" t="s">
        <v>58</v>
      </c>
      <c r="AG265" t="b">
        <v>1</v>
      </c>
      <c r="AH265">
        <v>3.3857964046462872</v>
      </c>
      <c r="AI265">
        <v>765.827</v>
      </c>
      <c r="AJ265">
        <v>91.310100000000006</v>
      </c>
      <c r="AK265">
        <v>43.513199999999998</v>
      </c>
      <c r="AL265">
        <v>14.950787645225271</v>
      </c>
      <c r="AM265">
        <v>51.865074660439447</v>
      </c>
      <c r="AN265">
        <v>51.865074660439447</v>
      </c>
      <c r="AO265" t="s">
        <v>58</v>
      </c>
      <c r="AP265" t="b">
        <v>1</v>
      </c>
      <c r="AQ265">
        <v>3.469052995144589</v>
      </c>
      <c r="AR265">
        <v>771.03099999999995</v>
      </c>
      <c r="AS265">
        <v>52.0536314046428</v>
      </c>
      <c r="AT265">
        <v>3.469052995144589</v>
      </c>
      <c r="AU265" s="5">
        <v>38.884062659268174</v>
      </c>
      <c r="AV265" s="5">
        <v>55.541224708753866</v>
      </c>
      <c r="AW265" s="5">
        <v>2.5913825873730079</v>
      </c>
      <c r="AX265" s="5">
        <v>3.7014795458192764</v>
      </c>
      <c r="AY265" t="s">
        <v>59</v>
      </c>
      <c r="AZ265" t="s">
        <v>60</v>
      </c>
      <c r="BA265" s="23">
        <f t="shared" si="4"/>
        <v>0</v>
      </c>
      <c r="BB265" s="23">
        <f>IF(AND(ISNUMBER(H265),Metadata!$H$5&gt;Metadata!$G$5),MAX(Metadata!$G$5-H265,0,H265-Metadata!$H$5)/(Metadata!$H$5-Metadata!$G$5),"Missing input")</f>
        <v>0</v>
      </c>
      <c r="BC265" s="23">
        <f>IF(AND(ISNUMBER(L265),Metadata!$H$8&gt;Metadata!$G$8),MAX(Metadata!$G$8-L265,0,L265-Metadata!$H$8)/(Metadata!$H$8-Metadata!$G$8),"Missing input")</f>
        <v>0</v>
      </c>
    </row>
    <row r="266" spans="1:55" x14ac:dyDescent="0.2">
      <c r="A266" t="s">
        <v>343</v>
      </c>
      <c r="B266" t="s">
        <v>339</v>
      </c>
      <c r="C266" t="s">
        <v>84</v>
      </c>
      <c r="D266" t="s">
        <v>55</v>
      </c>
      <c r="E266" t="s">
        <v>56</v>
      </c>
      <c r="F266">
        <v>5</v>
      </c>
      <c r="G266">
        <v>44.691650234033148</v>
      </c>
      <c r="H266">
        <v>35.278860063057749</v>
      </c>
      <c r="I266">
        <v>1.57</v>
      </c>
      <c r="J266">
        <v>1.5</v>
      </c>
      <c r="K266">
        <v>0.7</v>
      </c>
      <c r="L266">
        <v>0.25</v>
      </c>
      <c r="M266">
        <v>10</v>
      </c>
      <c r="N266">
        <v>150</v>
      </c>
      <c r="Q266">
        <v>0.69813170079773179</v>
      </c>
      <c r="R266">
        <v>4683732.748780732</v>
      </c>
      <c r="S266">
        <v>-5.7538414911611456E-3</v>
      </c>
      <c r="T266">
        <v>2061.9786008310161</v>
      </c>
      <c r="U266">
        <v>770.83560231362162</v>
      </c>
      <c r="V266">
        <v>456.18995593606547</v>
      </c>
      <c r="W266">
        <v>1.689725063612872</v>
      </c>
      <c r="X266" t="s">
        <v>57</v>
      </c>
      <c r="Z266">
        <v>914.95799999999997</v>
      </c>
      <c r="AA266">
        <v>95.163399999999996</v>
      </c>
      <c r="AB266">
        <v>35.038699999999999</v>
      </c>
      <c r="AC266">
        <v>14.71682740332975</v>
      </c>
      <c r="AD266">
        <v>37.910966837976019</v>
      </c>
      <c r="AE266">
        <v>37.910966837976019</v>
      </c>
      <c r="AF266" t="s">
        <v>58</v>
      </c>
      <c r="AG266" t="b">
        <v>1</v>
      </c>
      <c r="AH266">
        <v>2.5760285011835151</v>
      </c>
      <c r="AI266">
        <v>910.33100000000002</v>
      </c>
      <c r="AJ266">
        <v>91.310100000000006</v>
      </c>
      <c r="AK266">
        <v>34.388800000000003</v>
      </c>
      <c r="AL266">
        <v>14.027789288816511</v>
      </c>
      <c r="AM266">
        <v>37.915819323091888</v>
      </c>
      <c r="AN266">
        <v>37.915819323091888</v>
      </c>
      <c r="AO266" t="s">
        <v>58</v>
      </c>
      <c r="AP266" t="b">
        <v>1</v>
      </c>
      <c r="AQ266">
        <v>2.7029076743631899</v>
      </c>
      <c r="AR266">
        <v>914.95799999999997</v>
      </c>
      <c r="AS266">
        <v>37.915819323091888</v>
      </c>
      <c r="AT266">
        <v>2.7029076743631899</v>
      </c>
      <c r="AU266" s="5">
        <v>28.323117034349639</v>
      </c>
      <c r="AV266" s="5">
        <v>40.456179217739042</v>
      </c>
      <c r="AW266" s="5">
        <v>2.0190720327493028</v>
      </c>
      <c r="AX266" s="5">
        <v>2.8840024885455233</v>
      </c>
      <c r="AY266" t="s">
        <v>59</v>
      </c>
      <c r="AZ266" t="s">
        <v>60</v>
      </c>
      <c r="BA266" s="23">
        <f t="shared" si="4"/>
        <v>0</v>
      </c>
      <c r="BB266" s="23">
        <f>IF(AND(ISNUMBER(H266),Metadata!$H$5&gt;Metadata!$G$5),MAX(Metadata!$G$5-H266,0,H266-Metadata!$H$5)/(Metadata!$H$5-Metadata!$G$5),"Missing input")</f>
        <v>0</v>
      </c>
      <c r="BC266" s="23">
        <f>IF(AND(ISNUMBER(L266),Metadata!$H$8&gt;Metadata!$G$8),MAX(Metadata!$G$8-L266,0,L266-Metadata!$H$8)/(Metadata!$H$8-Metadata!$G$8),"Missing input")</f>
        <v>0</v>
      </c>
    </row>
    <row r="267" spans="1:55" x14ac:dyDescent="0.2">
      <c r="A267" t="s">
        <v>344</v>
      </c>
      <c r="B267" t="s">
        <v>339</v>
      </c>
      <c r="C267" t="s">
        <v>84</v>
      </c>
      <c r="D267" t="s">
        <v>55</v>
      </c>
      <c r="E267" t="s">
        <v>56</v>
      </c>
      <c r="F267">
        <v>6</v>
      </c>
      <c r="G267">
        <v>33.086500490231572</v>
      </c>
      <c r="H267">
        <v>19.79580616436397</v>
      </c>
      <c r="I267">
        <v>1.57</v>
      </c>
      <c r="J267">
        <v>1.5</v>
      </c>
      <c r="K267">
        <v>0.7</v>
      </c>
      <c r="L267">
        <v>0.25</v>
      </c>
      <c r="M267">
        <v>10</v>
      </c>
      <c r="N267">
        <v>150</v>
      </c>
      <c r="Q267">
        <v>0.69813170079773179</v>
      </c>
      <c r="R267">
        <v>1918643.176085273</v>
      </c>
      <c r="S267">
        <v>-4.6097652163721277E-3</v>
      </c>
      <c r="T267">
        <v>915.0391797947683</v>
      </c>
      <c r="U267">
        <v>724.34809556380162</v>
      </c>
      <c r="V267">
        <v>202.44229641477179</v>
      </c>
      <c r="W267">
        <v>3.578047218352673</v>
      </c>
      <c r="X267" t="s">
        <v>57</v>
      </c>
      <c r="Z267">
        <v>616.428</v>
      </c>
      <c r="AA267">
        <v>95.156199999999998</v>
      </c>
      <c r="AB267">
        <v>50.947899999999997</v>
      </c>
      <c r="AC267">
        <v>15.389618471337579</v>
      </c>
      <c r="AD267">
        <v>65.309242917808973</v>
      </c>
      <c r="AE267">
        <v>65.309242917808973</v>
      </c>
      <c r="AF267" t="s">
        <v>58</v>
      </c>
      <c r="AG267" t="b">
        <v>1</v>
      </c>
      <c r="AH267">
        <v>4.2437207289735142</v>
      </c>
      <c r="AI267">
        <v>614.21600000000001</v>
      </c>
      <c r="AJ267">
        <v>91.3172</v>
      </c>
      <c r="AK267">
        <v>39.358900000000013</v>
      </c>
      <c r="AL267">
        <v>15.042695879396989</v>
      </c>
      <c r="AM267">
        <v>39.544265479493141</v>
      </c>
      <c r="AN267">
        <v>39.544265479493141</v>
      </c>
      <c r="AO267" t="s">
        <v>58</v>
      </c>
      <c r="AP267" t="b">
        <v>1</v>
      </c>
      <c r="AQ267">
        <v>2.6288017650914801</v>
      </c>
      <c r="AR267">
        <v>616.428</v>
      </c>
      <c r="AS267">
        <v>65.309242917808973</v>
      </c>
      <c r="AT267">
        <v>4.2437207289735142</v>
      </c>
      <c r="AU267" s="5">
        <v>48.786004459603305</v>
      </c>
      <c r="AV267" s="5">
        <v>69.684962193302169</v>
      </c>
      <c r="AW267" s="5">
        <v>3.1700593845432152</v>
      </c>
      <c r="AX267" s="5">
        <v>4.5280500178147394</v>
      </c>
      <c r="AY267" t="s">
        <v>59</v>
      </c>
      <c r="AZ267" t="s">
        <v>60</v>
      </c>
      <c r="BA267" s="23">
        <f t="shared" si="4"/>
        <v>0</v>
      </c>
      <c r="BB267" s="23">
        <f>IF(AND(ISNUMBER(H267),Metadata!$H$5&gt;Metadata!$G$5),MAX(Metadata!$G$5-H267,0,H267-Metadata!$H$5)/(Metadata!$H$5-Metadata!$G$5),"Missing input")</f>
        <v>0</v>
      </c>
      <c r="BC267" s="23">
        <f>IF(AND(ISNUMBER(L267),Metadata!$H$8&gt;Metadata!$G$8),MAX(Metadata!$G$8-L267,0,L267-Metadata!$H$8)/(Metadata!$H$8-Metadata!$G$8),"Missing input")</f>
        <v>0</v>
      </c>
    </row>
    <row r="268" spans="1:55" x14ac:dyDescent="0.2">
      <c r="A268" t="s">
        <v>345</v>
      </c>
      <c r="B268" t="s">
        <v>339</v>
      </c>
      <c r="C268" t="s">
        <v>84</v>
      </c>
      <c r="D268" t="s">
        <v>55</v>
      </c>
      <c r="E268" t="s">
        <v>56</v>
      </c>
      <c r="F268">
        <v>7</v>
      </c>
      <c r="G268">
        <v>42.943727860216583</v>
      </c>
      <c r="H268">
        <v>31.604415760045629</v>
      </c>
      <c r="I268">
        <v>1.57</v>
      </c>
      <c r="J268">
        <v>1.5</v>
      </c>
      <c r="K268">
        <v>0.7</v>
      </c>
      <c r="L268">
        <v>0.25</v>
      </c>
      <c r="M268">
        <v>10</v>
      </c>
      <c r="N268">
        <v>150</v>
      </c>
      <c r="Q268">
        <v>0.69813170079773179</v>
      </c>
      <c r="R268">
        <v>4025355.613741619</v>
      </c>
      <c r="S268">
        <v>-5.626097203266755E-3</v>
      </c>
      <c r="T268">
        <v>1767.125197942283</v>
      </c>
      <c r="U268">
        <v>764.25751687900618</v>
      </c>
      <c r="V268">
        <v>390.95690219962017</v>
      </c>
      <c r="W268">
        <v>1.9548382764931489</v>
      </c>
      <c r="X268" t="s">
        <v>57</v>
      </c>
      <c r="Z268">
        <v>867.87300000000005</v>
      </c>
      <c r="AA268">
        <v>95.163399999999996</v>
      </c>
      <c r="AB268">
        <v>37.809100000000001</v>
      </c>
      <c r="AC268">
        <v>15.048999383087571</v>
      </c>
      <c r="AD268">
        <v>42.955677727532198</v>
      </c>
      <c r="AE268">
        <v>42.955677727532198</v>
      </c>
      <c r="AF268" t="s">
        <v>58</v>
      </c>
      <c r="AG268" t="b">
        <v>1</v>
      </c>
      <c r="AH268">
        <v>2.8543876329616191</v>
      </c>
      <c r="AI268">
        <v>865.87300000000005</v>
      </c>
      <c r="AJ268">
        <v>91.310100000000006</v>
      </c>
      <c r="AK268">
        <v>37.789400000000001</v>
      </c>
      <c r="AL268">
        <v>14.55587039215686</v>
      </c>
      <c r="AM268">
        <v>41.265513371238612</v>
      </c>
      <c r="AN268">
        <v>41.265513371238612</v>
      </c>
      <c r="AO268" t="s">
        <v>58</v>
      </c>
      <c r="AP268" t="b">
        <v>1</v>
      </c>
      <c r="AQ268">
        <v>2.834973949305958</v>
      </c>
      <c r="AR268">
        <v>867.87300000000005</v>
      </c>
      <c r="AS268">
        <v>42.955677727532198</v>
      </c>
      <c r="AT268">
        <v>2.8543876329616191</v>
      </c>
      <c r="AU268" s="5">
        <v>32.087891262466549</v>
      </c>
      <c r="AV268" s="5">
        <v>45.833708135276851</v>
      </c>
      <c r="AW268" s="5">
        <v>2.1322275618223294</v>
      </c>
      <c r="AX268" s="5">
        <v>3.0456316043700475</v>
      </c>
      <c r="AY268" t="s">
        <v>59</v>
      </c>
      <c r="AZ268" t="s">
        <v>60</v>
      </c>
      <c r="BA268" s="23">
        <f t="shared" si="4"/>
        <v>0</v>
      </c>
      <c r="BB268" s="23">
        <f>IF(AND(ISNUMBER(H268),Metadata!$H$5&gt;Metadata!$G$5),MAX(Metadata!$G$5-H268,0,H268-Metadata!$H$5)/(Metadata!$H$5-Metadata!$G$5),"Missing input")</f>
        <v>0</v>
      </c>
      <c r="BC268" s="23">
        <f>IF(AND(ISNUMBER(L268),Metadata!$H$8&gt;Metadata!$G$8),MAX(Metadata!$G$8-L268,0,L268-Metadata!$H$8)/(Metadata!$H$8-Metadata!$G$8),"Missing input")</f>
        <v>0</v>
      </c>
    </row>
    <row r="269" spans="1:55" x14ac:dyDescent="0.2">
      <c r="A269" t="s">
        <v>346</v>
      </c>
      <c r="B269" t="s">
        <v>339</v>
      </c>
      <c r="C269" t="s">
        <v>84</v>
      </c>
      <c r="D269" t="s">
        <v>55</v>
      </c>
      <c r="E269" t="s">
        <v>56</v>
      </c>
      <c r="F269">
        <v>8</v>
      </c>
      <c r="G269">
        <v>29.155454969686971</v>
      </c>
      <c r="H269">
        <v>7.3398505058277053</v>
      </c>
      <c r="I269">
        <v>1.57</v>
      </c>
      <c r="J269">
        <v>1.5</v>
      </c>
      <c r="K269">
        <v>0.7</v>
      </c>
      <c r="L269">
        <v>0.25</v>
      </c>
      <c r="M269">
        <v>10</v>
      </c>
      <c r="N269">
        <v>150</v>
      </c>
      <c r="Q269">
        <v>0.69813170079773179</v>
      </c>
      <c r="R269">
        <v>595711.36772068124</v>
      </c>
      <c r="S269">
        <v>-2.8525049487992771E-3</v>
      </c>
      <c r="T269">
        <v>480.50831710260849</v>
      </c>
      <c r="U269">
        <v>706.7858992589853</v>
      </c>
      <c r="V269">
        <v>106.3071498014621</v>
      </c>
      <c r="W269">
        <v>6.6485264686238876</v>
      </c>
      <c r="X269" t="s">
        <v>57</v>
      </c>
      <c r="Z269">
        <v>413.12299999999999</v>
      </c>
      <c r="AA269">
        <v>95.166200000000003</v>
      </c>
      <c r="AB269">
        <v>65.006200000000007</v>
      </c>
      <c r="AC269">
        <v>15.93695827095808</v>
      </c>
      <c r="AE269">
        <v>95.166200000000003</v>
      </c>
      <c r="AF269" t="s">
        <v>62</v>
      </c>
      <c r="AG269" t="b">
        <v>0</v>
      </c>
      <c r="AH269">
        <v>5.9714155224602274</v>
      </c>
      <c r="AI269">
        <v>409.99400000000003</v>
      </c>
      <c r="AJ269">
        <v>91.307200000000009</v>
      </c>
      <c r="AK269">
        <v>64.811499999999995</v>
      </c>
      <c r="AL269">
        <v>15.389628173374611</v>
      </c>
      <c r="AM269">
        <v>78.467196322063359</v>
      </c>
      <c r="AN269">
        <v>78.467196322063359</v>
      </c>
      <c r="AO269" t="s">
        <v>58</v>
      </c>
      <c r="AP269" t="b">
        <v>1</v>
      </c>
      <c r="AQ269">
        <v>5.0987064429417721</v>
      </c>
      <c r="AR269">
        <v>413.12299999999999</v>
      </c>
      <c r="AS269">
        <v>95.166200000000003</v>
      </c>
      <c r="AT269">
        <v>5.9714155224602274</v>
      </c>
      <c r="AU269" s="5">
        <v>71.089151400000006</v>
      </c>
      <c r="AV269" s="5">
        <v>101.5423354</v>
      </c>
      <c r="AW269" s="5">
        <v>4.4606473952777899</v>
      </c>
      <c r="AX269" s="5">
        <v>6.3715003624650626</v>
      </c>
      <c r="AY269" t="s">
        <v>59</v>
      </c>
      <c r="AZ269" t="s">
        <v>60</v>
      </c>
      <c r="BA269" s="23">
        <f t="shared" si="4"/>
        <v>0</v>
      </c>
      <c r="BB269" s="23">
        <f>IF(AND(ISNUMBER(H269),Metadata!$H$5&gt;Metadata!$G$5),MAX(Metadata!$G$5-H269,0,H269-Metadata!$H$5)/(Metadata!$H$5-Metadata!$G$5),"Missing input")</f>
        <v>0</v>
      </c>
      <c r="BC269" s="23">
        <f>IF(AND(ISNUMBER(L269),Metadata!$H$8&gt;Metadata!$G$8),MAX(Metadata!$G$8-L269,0,L269-Metadata!$H$8)/(Metadata!$H$8-Metadata!$G$8),"Missing input")</f>
        <v>0</v>
      </c>
    </row>
    <row r="270" spans="1:55" x14ac:dyDescent="0.2">
      <c r="A270" t="s">
        <v>347</v>
      </c>
      <c r="B270" t="s">
        <v>339</v>
      </c>
      <c r="C270" t="s">
        <v>84</v>
      </c>
      <c r="D270" t="s">
        <v>55</v>
      </c>
      <c r="E270" t="s">
        <v>56</v>
      </c>
      <c r="F270">
        <v>9</v>
      </c>
      <c r="G270">
        <v>59.748609235827082</v>
      </c>
      <c r="H270">
        <v>37.783512331141722</v>
      </c>
      <c r="I270">
        <v>1.57</v>
      </c>
      <c r="J270">
        <v>1.5</v>
      </c>
      <c r="K270">
        <v>0.7</v>
      </c>
      <c r="L270">
        <v>0.25</v>
      </c>
      <c r="M270">
        <v>10</v>
      </c>
      <c r="N270">
        <v>150</v>
      </c>
      <c r="Q270">
        <v>0.69813170079773179</v>
      </c>
      <c r="R270">
        <v>6726258.2664913209</v>
      </c>
      <c r="S270">
        <v>-5.7957899954265537E-3</v>
      </c>
      <c r="T270">
        <v>2958.9793454838732</v>
      </c>
      <c r="U270">
        <v>822.87545002106197</v>
      </c>
      <c r="V270">
        <v>654.64144811590108</v>
      </c>
      <c r="W270">
        <v>1.256986480751179</v>
      </c>
      <c r="X270" t="s">
        <v>57</v>
      </c>
      <c r="Z270">
        <v>1158.9100000000001</v>
      </c>
      <c r="AA270">
        <v>95.163399999999996</v>
      </c>
      <c r="AB270">
        <v>33.023899999999998</v>
      </c>
      <c r="AC270">
        <v>14.83174839264052</v>
      </c>
      <c r="AD270">
        <v>35.389043789182672</v>
      </c>
      <c r="AE270">
        <v>35.389043789182672</v>
      </c>
      <c r="AF270" t="s">
        <v>58</v>
      </c>
      <c r="AG270" t="b">
        <v>1</v>
      </c>
      <c r="AH270">
        <v>2.386033180467289</v>
      </c>
      <c r="AI270">
        <v>1155.6500000000001</v>
      </c>
      <c r="AJ270">
        <v>91.310100000000006</v>
      </c>
      <c r="AK270">
        <v>32.289299999999997</v>
      </c>
      <c r="AL270">
        <v>14.00534450377917</v>
      </c>
      <c r="AM270">
        <v>34.748997466125317</v>
      </c>
      <c r="AN270">
        <v>34.748997466125317</v>
      </c>
      <c r="AO270" t="s">
        <v>58</v>
      </c>
      <c r="AP270" t="b">
        <v>1</v>
      </c>
      <c r="AQ270">
        <v>2.4811240777939259</v>
      </c>
      <c r="AR270">
        <v>1158.9100000000001</v>
      </c>
      <c r="AS270">
        <v>35.389043789182672</v>
      </c>
      <c r="AT270">
        <v>2.4811240777939259</v>
      </c>
      <c r="AU270" s="5">
        <v>26.435615710519457</v>
      </c>
      <c r="AV270" s="5">
        <v>37.760109723057909</v>
      </c>
      <c r="AW270" s="5">
        <v>1.8533996861120625</v>
      </c>
      <c r="AX270" s="5">
        <v>2.6473593910061188</v>
      </c>
      <c r="AY270" t="s">
        <v>59</v>
      </c>
      <c r="AZ270" t="s">
        <v>60</v>
      </c>
      <c r="BA270" s="23">
        <f t="shared" si="4"/>
        <v>0</v>
      </c>
      <c r="BB270" s="23">
        <f>IF(AND(ISNUMBER(H270),Metadata!$H$5&gt;Metadata!$G$5),MAX(Metadata!$G$5-H270,0,H270-Metadata!$H$5)/(Metadata!$H$5-Metadata!$G$5),"Missing input")</f>
        <v>0</v>
      </c>
      <c r="BC270" s="23">
        <f>IF(AND(ISNUMBER(L270),Metadata!$H$8&gt;Metadata!$G$8),MAX(Metadata!$G$8-L270,0,L270-Metadata!$H$8)/(Metadata!$H$8-Metadata!$G$8),"Missing input")</f>
        <v>0</v>
      </c>
    </row>
    <row r="271" spans="1:55" x14ac:dyDescent="0.2">
      <c r="A271" t="s">
        <v>348</v>
      </c>
      <c r="B271" t="s">
        <v>339</v>
      </c>
      <c r="C271" t="s">
        <v>84</v>
      </c>
      <c r="D271" t="s">
        <v>55</v>
      </c>
      <c r="E271" t="s">
        <v>56</v>
      </c>
      <c r="F271">
        <v>10</v>
      </c>
      <c r="G271">
        <v>34.746337553007109</v>
      </c>
      <c r="H271">
        <v>23.7414613202046</v>
      </c>
      <c r="I271">
        <v>1.57</v>
      </c>
      <c r="J271">
        <v>1.5</v>
      </c>
      <c r="K271">
        <v>0.7</v>
      </c>
      <c r="L271">
        <v>0.25</v>
      </c>
      <c r="M271">
        <v>10</v>
      </c>
      <c r="N271">
        <v>150</v>
      </c>
      <c r="Q271">
        <v>0.69813170079773179</v>
      </c>
      <c r="R271">
        <v>2428507.8121004719</v>
      </c>
      <c r="S271">
        <v>-5.0530659338986986E-3</v>
      </c>
      <c r="T271">
        <v>1111.217336052197</v>
      </c>
      <c r="U271">
        <v>731.44834288856589</v>
      </c>
      <c r="V271">
        <v>245.84454337438001</v>
      </c>
      <c r="W271">
        <v>2.975247417937168</v>
      </c>
      <c r="X271" t="s">
        <v>57</v>
      </c>
      <c r="Z271">
        <v>685.923</v>
      </c>
      <c r="AA271">
        <v>95.163399999999996</v>
      </c>
      <c r="AB271">
        <v>44.910200000000003</v>
      </c>
      <c r="AC271">
        <v>15.582004249902081</v>
      </c>
      <c r="AD271">
        <v>56.664517412731001</v>
      </c>
      <c r="AE271">
        <v>56.664517412731001</v>
      </c>
      <c r="AF271" t="s">
        <v>58</v>
      </c>
      <c r="AG271" t="b">
        <v>1</v>
      </c>
      <c r="AH271">
        <v>3.6365358720196141</v>
      </c>
      <c r="AI271">
        <v>680.96400000000006</v>
      </c>
      <c r="AJ271">
        <v>91.310100000000006</v>
      </c>
      <c r="AK271">
        <v>45.230800000000002</v>
      </c>
      <c r="AL271">
        <v>15.147651772827119</v>
      </c>
      <c r="AM271">
        <v>55.764870601199164</v>
      </c>
      <c r="AN271">
        <v>55.764870601199164</v>
      </c>
      <c r="AO271" t="s">
        <v>58</v>
      </c>
      <c r="AP271" t="b">
        <v>1</v>
      </c>
      <c r="AQ271">
        <v>3.6814201592113411</v>
      </c>
      <c r="AR271">
        <v>685.923</v>
      </c>
      <c r="AS271">
        <v>56.664517412731001</v>
      </c>
      <c r="AT271">
        <v>3.6814201592113411</v>
      </c>
      <c r="AU271" s="5">
        <v>42.328394507310058</v>
      </c>
      <c r="AV271" s="5">
        <v>60.461040079383977</v>
      </c>
      <c r="AW271" s="5">
        <v>2.7500208589308719</v>
      </c>
      <c r="AX271" s="5">
        <v>3.9280753098785008</v>
      </c>
      <c r="AY271" t="s">
        <v>59</v>
      </c>
      <c r="AZ271" t="s">
        <v>60</v>
      </c>
      <c r="BA271" s="23">
        <f t="shared" si="4"/>
        <v>0</v>
      </c>
      <c r="BB271" s="23">
        <f>IF(AND(ISNUMBER(H271),Metadata!$H$5&gt;Metadata!$G$5),MAX(Metadata!$G$5-H271,0,H271-Metadata!$H$5)/(Metadata!$H$5-Metadata!$G$5),"Missing input")</f>
        <v>0</v>
      </c>
      <c r="BC271" s="23">
        <f>IF(AND(ISNUMBER(L271),Metadata!$H$8&gt;Metadata!$G$8),MAX(Metadata!$G$8-L271,0,L271-Metadata!$H$8)/(Metadata!$H$8-Metadata!$G$8),"Missing input")</f>
        <v>0</v>
      </c>
    </row>
    <row r="272" spans="1:55" x14ac:dyDescent="0.2">
      <c r="A272" t="s">
        <v>349</v>
      </c>
      <c r="B272" t="s">
        <v>339</v>
      </c>
      <c r="C272" t="s">
        <v>84</v>
      </c>
      <c r="D272" t="s">
        <v>55</v>
      </c>
      <c r="E272" t="s">
        <v>56</v>
      </c>
      <c r="F272">
        <v>11</v>
      </c>
      <c r="G272">
        <v>24.502161634428251</v>
      </c>
      <c r="H272">
        <v>33.048591474592847</v>
      </c>
      <c r="I272">
        <v>1.57</v>
      </c>
      <c r="J272">
        <v>1.5</v>
      </c>
      <c r="K272">
        <v>0.7</v>
      </c>
      <c r="L272">
        <v>0.25</v>
      </c>
      <c r="M272">
        <v>10</v>
      </c>
      <c r="N272">
        <v>150</v>
      </c>
      <c r="Q272">
        <v>0.69813170079773179</v>
      </c>
      <c r="R272">
        <v>2383007.1153019848</v>
      </c>
      <c r="S272">
        <v>-5.6862070156526758E-3</v>
      </c>
      <c r="T272">
        <v>1134.971999997148</v>
      </c>
      <c r="U272">
        <v>684.38581388777777</v>
      </c>
      <c r="V272">
        <v>251.099999999369</v>
      </c>
      <c r="W272">
        <v>2.7255508318976411</v>
      </c>
      <c r="X272" t="s">
        <v>57</v>
      </c>
      <c r="Z272">
        <v>596.68899999999996</v>
      </c>
      <c r="AA272">
        <v>95.163399999999996</v>
      </c>
      <c r="AB272">
        <v>36.801699999999997</v>
      </c>
      <c r="AC272">
        <v>15.39321151574803</v>
      </c>
      <c r="AD272">
        <v>42.010298209755597</v>
      </c>
      <c r="AE272">
        <v>42.010298209755597</v>
      </c>
      <c r="AF272" t="s">
        <v>58</v>
      </c>
      <c r="AG272" t="b">
        <v>1</v>
      </c>
      <c r="AH272">
        <v>2.7291444781861758</v>
      </c>
      <c r="AI272">
        <v>593.09299999999996</v>
      </c>
      <c r="AJ272">
        <v>91.310100000000006</v>
      </c>
      <c r="AK272">
        <v>36.481499999999997</v>
      </c>
      <c r="AL272">
        <v>14.812984118378949</v>
      </c>
      <c r="AM272">
        <v>40.88220743371545</v>
      </c>
      <c r="AN272">
        <v>40.88220743371545</v>
      </c>
      <c r="AO272" t="s">
        <v>58</v>
      </c>
      <c r="AP272" t="b">
        <v>1</v>
      </c>
      <c r="AQ272">
        <v>2.759890046934673</v>
      </c>
      <c r="AR272">
        <v>596.68899999999996</v>
      </c>
      <c r="AS272">
        <v>42.010298209755597</v>
      </c>
      <c r="AT272">
        <v>2.759890046934673</v>
      </c>
      <c r="AU272" s="5">
        <v>31.381692762687429</v>
      </c>
      <c r="AV272" s="5">
        <v>44.824988189809218</v>
      </c>
      <c r="AW272" s="5">
        <v>2.0616378650602005</v>
      </c>
      <c r="AX272" s="5">
        <v>2.9448026800792961</v>
      </c>
      <c r="AY272" t="s">
        <v>59</v>
      </c>
      <c r="AZ272" t="s">
        <v>60</v>
      </c>
      <c r="BA272" s="23">
        <f t="shared" si="4"/>
        <v>0</v>
      </c>
      <c r="BB272" s="23">
        <f>IF(AND(ISNUMBER(H272),Metadata!$H$5&gt;Metadata!$G$5),MAX(Metadata!$G$5-H272,0,H272-Metadata!$H$5)/(Metadata!$H$5-Metadata!$G$5),"Missing input")</f>
        <v>0</v>
      </c>
      <c r="BC272" s="23">
        <f>IF(AND(ISNUMBER(L272),Metadata!$H$8&gt;Metadata!$G$8),MAX(Metadata!$G$8-L272,0,L272-Metadata!$H$8)/(Metadata!$H$8-Metadata!$G$8),"Missing input")</f>
        <v>0</v>
      </c>
    </row>
    <row r="273" spans="1:55" x14ac:dyDescent="0.2">
      <c r="A273" t="s">
        <v>350</v>
      </c>
      <c r="B273" t="s">
        <v>339</v>
      </c>
      <c r="C273" t="s">
        <v>84</v>
      </c>
      <c r="D273" t="s">
        <v>55</v>
      </c>
      <c r="E273" t="s">
        <v>56</v>
      </c>
      <c r="F273">
        <v>12</v>
      </c>
      <c r="G273">
        <v>56.241153781572699</v>
      </c>
      <c r="H273">
        <v>14.78764467513273</v>
      </c>
      <c r="I273">
        <v>1.57</v>
      </c>
      <c r="J273">
        <v>1.5</v>
      </c>
      <c r="K273">
        <v>0.7</v>
      </c>
      <c r="L273">
        <v>0.25</v>
      </c>
      <c r="M273">
        <v>10</v>
      </c>
      <c r="N273">
        <v>150</v>
      </c>
      <c r="Q273">
        <v>0.69813170079773179</v>
      </c>
      <c r="R273">
        <v>2448743.9197241841</v>
      </c>
      <c r="S273">
        <v>-3.933579248360998E-3</v>
      </c>
      <c r="T273">
        <v>1060.8343060705299</v>
      </c>
      <c r="U273">
        <v>811.40111588676484</v>
      </c>
      <c r="V273">
        <v>234.69785532533859</v>
      </c>
      <c r="W273">
        <v>3.4572157242851631</v>
      </c>
      <c r="X273" t="s">
        <v>57</v>
      </c>
      <c r="Z273">
        <v>768.98699999999997</v>
      </c>
      <c r="AA273">
        <v>95.163399999999996</v>
      </c>
      <c r="AB273">
        <v>51.296399999999998</v>
      </c>
      <c r="AC273">
        <v>14.55912144804088</v>
      </c>
      <c r="AD273">
        <v>88.815727051172416</v>
      </c>
      <c r="AE273">
        <v>88.815727051172416</v>
      </c>
      <c r="AF273" t="s">
        <v>58</v>
      </c>
      <c r="AG273" t="b">
        <v>1</v>
      </c>
      <c r="AH273">
        <v>6.100349349247562</v>
      </c>
      <c r="AI273">
        <v>765.37699999999995</v>
      </c>
      <c r="AJ273">
        <v>91.310100000000006</v>
      </c>
      <c r="AK273">
        <v>51.757599999999996</v>
      </c>
      <c r="AL273">
        <v>14.20787687846032</v>
      </c>
      <c r="AM273">
        <v>88.317692441528806</v>
      </c>
      <c r="AN273">
        <v>88.317692441528806</v>
      </c>
      <c r="AO273" t="s">
        <v>58</v>
      </c>
      <c r="AP273" t="b">
        <v>1</v>
      </c>
      <c r="AQ273">
        <v>6.2161076702052354</v>
      </c>
      <c r="AR273">
        <v>768.98699999999997</v>
      </c>
      <c r="AS273">
        <v>88.815727051172416</v>
      </c>
      <c r="AT273">
        <v>6.2161076702052354</v>
      </c>
      <c r="AU273" s="5">
        <v>66.345348107225789</v>
      </c>
      <c r="AV273" s="5">
        <v>94.766380763600964</v>
      </c>
      <c r="AW273" s="5">
        <v>4.6434324296433109</v>
      </c>
      <c r="AX273" s="5">
        <v>6.6325868841089859</v>
      </c>
      <c r="AY273" t="s">
        <v>59</v>
      </c>
      <c r="AZ273" t="s">
        <v>60</v>
      </c>
      <c r="BA273" s="23">
        <f t="shared" si="4"/>
        <v>0</v>
      </c>
      <c r="BB273" s="23">
        <f>IF(AND(ISNUMBER(H273),Metadata!$H$5&gt;Metadata!$G$5),MAX(Metadata!$G$5-H273,0,H273-Metadata!$H$5)/(Metadata!$H$5-Metadata!$G$5),"Missing input")</f>
        <v>0</v>
      </c>
      <c r="BC273" s="23">
        <f>IF(AND(ISNUMBER(L273),Metadata!$H$8&gt;Metadata!$G$8),MAX(Metadata!$G$8-L273,0,L273-Metadata!$H$8)/(Metadata!$H$8-Metadata!$G$8),"Missing input")</f>
        <v>0</v>
      </c>
    </row>
    <row r="274" spans="1:55" x14ac:dyDescent="0.2">
      <c r="A274" t="s">
        <v>351</v>
      </c>
      <c r="B274" t="s">
        <v>339</v>
      </c>
      <c r="C274" t="s">
        <v>84</v>
      </c>
      <c r="D274" t="s">
        <v>55</v>
      </c>
      <c r="E274" t="s">
        <v>56</v>
      </c>
      <c r="F274">
        <v>13</v>
      </c>
      <c r="G274">
        <v>49.119901382435643</v>
      </c>
      <c r="H274">
        <v>22.54933477691009</v>
      </c>
      <c r="I274">
        <v>1.57</v>
      </c>
      <c r="J274">
        <v>1.5</v>
      </c>
      <c r="K274">
        <v>0.7</v>
      </c>
      <c r="L274">
        <v>0.25</v>
      </c>
      <c r="M274">
        <v>10</v>
      </c>
      <c r="N274">
        <v>150</v>
      </c>
      <c r="Q274">
        <v>0.69813170079773179</v>
      </c>
      <c r="R274">
        <v>3276584.6264440492</v>
      </c>
      <c r="S274">
        <v>-4.929325492251716E-3</v>
      </c>
      <c r="T274">
        <v>1412.968799359719</v>
      </c>
      <c r="U274">
        <v>786.94653369120795</v>
      </c>
      <c r="V274">
        <v>312.60371667250428</v>
      </c>
      <c r="W274">
        <v>2.5173934016774462</v>
      </c>
      <c r="X274" t="s">
        <v>57</v>
      </c>
      <c r="Z274">
        <v>852.13800000000003</v>
      </c>
      <c r="AA274">
        <v>95.091899999999995</v>
      </c>
      <c r="AB274">
        <v>44.910200000000003</v>
      </c>
      <c r="AC274">
        <v>15.203024136291599</v>
      </c>
      <c r="AD274">
        <v>45.007486000146457</v>
      </c>
      <c r="AE274">
        <v>45.007486000146457</v>
      </c>
      <c r="AF274" t="s">
        <v>58</v>
      </c>
      <c r="AG274" t="b">
        <v>1</v>
      </c>
      <c r="AH274">
        <v>2.9604298195322669</v>
      </c>
      <c r="AI274">
        <v>843.14800000000002</v>
      </c>
      <c r="AJ274">
        <v>91.381599999999992</v>
      </c>
      <c r="AK274">
        <v>39.358900000000013</v>
      </c>
      <c r="AL274">
        <v>14.70915573272589</v>
      </c>
      <c r="AM274">
        <v>61.162007347798649</v>
      </c>
      <c r="AN274">
        <v>61.162007347798649</v>
      </c>
      <c r="AO274" t="s">
        <v>58</v>
      </c>
      <c r="AP274" t="b">
        <v>1</v>
      </c>
      <c r="AQ274">
        <v>4.1580909509117108</v>
      </c>
      <c r="AR274">
        <v>852.13800000000003</v>
      </c>
      <c r="AS274">
        <v>61.162007347798649</v>
      </c>
      <c r="AT274">
        <v>4.1580909509117108</v>
      </c>
      <c r="AU274" s="5">
        <v>45.688019488805594</v>
      </c>
      <c r="AV274" s="5">
        <v>65.259861840101152</v>
      </c>
      <c r="AW274" s="5">
        <v>3.1060939403310481</v>
      </c>
      <c r="AX274" s="5">
        <v>4.4366830446227956</v>
      </c>
      <c r="AY274" t="s">
        <v>59</v>
      </c>
      <c r="AZ274" t="s">
        <v>60</v>
      </c>
      <c r="BA274" s="23">
        <f t="shared" si="4"/>
        <v>0</v>
      </c>
      <c r="BB274" s="23">
        <f>IF(AND(ISNUMBER(H274),Metadata!$H$5&gt;Metadata!$G$5),MAX(Metadata!$G$5-H274,0,H274-Metadata!$H$5)/(Metadata!$H$5-Metadata!$G$5),"Missing input")</f>
        <v>0</v>
      </c>
      <c r="BC274" s="23">
        <f>IF(AND(ISNUMBER(L274),Metadata!$H$8&gt;Metadata!$G$8),MAX(Metadata!$G$8-L274,0,L274-Metadata!$H$8)/(Metadata!$H$8-Metadata!$G$8),"Missing input")</f>
        <v>0</v>
      </c>
    </row>
    <row r="275" spans="1:55" x14ac:dyDescent="0.2">
      <c r="A275" t="s">
        <v>352</v>
      </c>
      <c r="B275" t="s">
        <v>339</v>
      </c>
      <c r="C275" t="s">
        <v>84</v>
      </c>
      <c r="D275" t="s">
        <v>55</v>
      </c>
      <c r="E275" t="s">
        <v>56</v>
      </c>
      <c r="F275">
        <v>14</v>
      </c>
      <c r="G275">
        <v>37.958866376576751</v>
      </c>
      <c r="H275">
        <v>9.8264864335603903</v>
      </c>
      <c r="I275">
        <v>1.57</v>
      </c>
      <c r="J275">
        <v>1.5</v>
      </c>
      <c r="K275">
        <v>0.7</v>
      </c>
      <c r="L275">
        <v>0.25</v>
      </c>
      <c r="M275">
        <v>10</v>
      </c>
      <c r="N275">
        <v>150</v>
      </c>
      <c r="Q275">
        <v>0.69813170079773179</v>
      </c>
      <c r="R275">
        <v>1072728.181448289</v>
      </c>
      <c r="S275">
        <v>-3.2088788548571869E-3</v>
      </c>
      <c r="T275">
        <v>610.81355109044614</v>
      </c>
      <c r="U275">
        <v>744.72430032575369</v>
      </c>
      <c r="V275">
        <v>135.13574139169171</v>
      </c>
      <c r="W275">
        <v>5.5109350987106103</v>
      </c>
      <c r="X275" t="s">
        <v>57</v>
      </c>
      <c r="Z275">
        <v>512.13900000000001</v>
      </c>
      <c r="AA275">
        <v>95.163399999999996</v>
      </c>
      <c r="AB275">
        <v>65.006200000000007</v>
      </c>
      <c r="AC275">
        <v>15.36832926587301</v>
      </c>
      <c r="AE275">
        <v>95.163399999999996</v>
      </c>
      <c r="AF275" t="s">
        <v>62</v>
      </c>
      <c r="AG275" t="b">
        <v>0</v>
      </c>
      <c r="AH275">
        <v>6.1921760234094094</v>
      </c>
      <c r="AI275">
        <v>509.34500000000003</v>
      </c>
      <c r="AJ275">
        <v>91.310100000000006</v>
      </c>
      <c r="AK275">
        <v>64.811499999999995</v>
      </c>
      <c r="AL275">
        <v>14.94703051317614</v>
      </c>
      <c r="AN275">
        <v>91.310100000000006</v>
      </c>
      <c r="AO275" t="s">
        <v>62</v>
      </c>
      <c r="AP275" t="b">
        <v>0</v>
      </c>
      <c r="AQ275">
        <v>6.1089123969813333</v>
      </c>
      <c r="AR275">
        <v>512.13900000000001</v>
      </c>
      <c r="AS275">
        <v>95.163399999999996</v>
      </c>
      <c r="AT275">
        <v>6.1921760234094094</v>
      </c>
      <c r="AU275" s="5">
        <v>71.087059799999992</v>
      </c>
      <c r="AV275" s="5">
        <v>101.53934779999999</v>
      </c>
      <c r="AW275" s="5">
        <v>4.6255554894868292</v>
      </c>
      <c r="AX275" s="5">
        <v>6.6070518169778394</v>
      </c>
      <c r="AY275" t="s">
        <v>59</v>
      </c>
      <c r="AZ275" t="s">
        <v>60</v>
      </c>
      <c r="BA275" s="23">
        <f t="shared" si="4"/>
        <v>0</v>
      </c>
      <c r="BB275" s="23">
        <f>IF(AND(ISNUMBER(H275),Metadata!$H$5&gt;Metadata!$G$5),MAX(Metadata!$G$5-H275,0,H275-Metadata!$H$5)/(Metadata!$H$5-Metadata!$G$5),"Missing input")</f>
        <v>0</v>
      </c>
      <c r="BC275" s="23">
        <f>IF(AND(ISNUMBER(L275),Metadata!$H$8&gt;Metadata!$G$8),MAX(Metadata!$G$8-L275,0,L275-Metadata!$H$8)/(Metadata!$H$8-Metadata!$G$8),"Missing input")</f>
        <v>0</v>
      </c>
    </row>
    <row r="276" spans="1:55" x14ac:dyDescent="0.2">
      <c r="A276" t="s">
        <v>353</v>
      </c>
      <c r="B276" t="s">
        <v>339</v>
      </c>
      <c r="C276" t="s">
        <v>84</v>
      </c>
      <c r="D276" t="s">
        <v>55</v>
      </c>
      <c r="E276" t="s">
        <v>56</v>
      </c>
      <c r="F276">
        <v>15</v>
      </c>
      <c r="G276">
        <v>27.308053040943211</v>
      </c>
      <c r="H276">
        <v>5.2772178758296739</v>
      </c>
      <c r="I276">
        <v>1.57</v>
      </c>
      <c r="J276">
        <v>1.5</v>
      </c>
      <c r="K276">
        <v>0.7</v>
      </c>
      <c r="L276">
        <v>0.25</v>
      </c>
      <c r="M276">
        <v>10</v>
      </c>
      <c r="N276">
        <v>150</v>
      </c>
      <c r="Q276">
        <v>0.69813170079773179</v>
      </c>
      <c r="R276">
        <v>386052.96198531118</v>
      </c>
      <c r="S276">
        <v>-2.5702224542232719E-3</v>
      </c>
      <c r="T276">
        <v>428.52672237905682</v>
      </c>
      <c r="U276">
        <v>698.12364149884274</v>
      </c>
      <c r="V276">
        <v>94.806796986516986</v>
      </c>
      <c r="W276">
        <v>7.3636454736270318</v>
      </c>
      <c r="X276" t="s">
        <v>57</v>
      </c>
      <c r="Z276">
        <v>371.47500000000002</v>
      </c>
      <c r="AA276">
        <v>95.163399999999996</v>
      </c>
      <c r="AB276">
        <v>37.809100000000001</v>
      </c>
      <c r="AC276">
        <v>16.2729447117859</v>
      </c>
      <c r="AE276">
        <v>95.163399999999996</v>
      </c>
      <c r="AF276" t="s">
        <v>62</v>
      </c>
      <c r="AG276" t="b">
        <v>0</v>
      </c>
      <c r="AH276">
        <v>5.8479520262289482</v>
      </c>
      <c r="AI276">
        <v>370.68099999999998</v>
      </c>
      <c r="AJ276">
        <v>91.310100000000006</v>
      </c>
      <c r="AK276">
        <v>32.289299999999997</v>
      </c>
      <c r="AL276">
        <v>15.876776419432231</v>
      </c>
      <c r="AN276">
        <v>91.310100000000006</v>
      </c>
      <c r="AO276" t="s">
        <v>62</v>
      </c>
      <c r="AP276" t="b">
        <v>0</v>
      </c>
      <c r="AQ276">
        <v>5.7511737639790592</v>
      </c>
      <c r="AR276">
        <v>371.47500000000002</v>
      </c>
      <c r="AS276">
        <v>95.163399999999996</v>
      </c>
      <c r="AT276">
        <v>5.8479520262289482</v>
      </c>
      <c r="AU276" s="5">
        <v>71.087059799999992</v>
      </c>
      <c r="AV276" s="5">
        <v>101.53934779999999</v>
      </c>
      <c r="AW276" s="5">
        <v>4.368420163593024</v>
      </c>
      <c r="AX276" s="5">
        <v>6.2397648119862872</v>
      </c>
      <c r="AY276" t="s">
        <v>59</v>
      </c>
      <c r="AZ276" t="s">
        <v>60</v>
      </c>
      <c r="BA276" s="23">
        <f t="shared" si="4"/>
        <v>0</v>
      </c>
      <c r="BB276" s="23">
        <f>IF(AND(ISNUMBER(H276),Metadata!$H$5&gt;Metadata!$G$5),MAX(Metadata!$G$5-H276,0,H276-Metadata!$H$5)/(Metadata!$H$5-Metadata!$G$5),"Missing input")</f>
        <v>0</v>
      </c>
      <c r="BC276" s="23">
        <f>IF(AND(ISNUMBER(L276),Metadata!$H$8&gt;Metadata!$G$8),MAX(Metadata!$G$8-L276,0,L276-Metadata!$H$8)/(Metadata!$H$8-Metadata!$G$8),"Missing input")</f>
        <v>0</v>
      </c>
    </row>
    <row r="277" spans="1:55" x14ac:dyDescent="0.2">
      <c r="A277" t="s">
        <v>354</v>
      </c>
      <c r="B277" t="s">
        <v>339</v>
      </c>
      <c r="C277" t="s">
        <v>84</v>
      </c>
      <c r="D277" t="s">
        <v>55</v>
      </c>
      <c r="E277" t="s">
        <v>56</v>
      </c>
      <c r="F277">
        <v>16</v>
      </c>
      <c r="G277">
        <v>31.1252119640606</v>
      </c>
      <c r="H277">
        <v>39.5069074866867</v>
      </c>
      <c r="I277">
        <v>1.57</v>
      </c>
      <c r="J277">
        <v>1.5</v>
      </c>
      <c r="K277">
        <v>0.7</v>
      </c>
      <c r="L277">
        <v>0.25</v>
      </c>
      <c r="M277">
        <v>10</v>
      </c>
      <c r="N277">
        <v>150</v>
      </c>
      <c r="Q277">
        <v>0.69813170079773179</v>
      </c>
      <c r="R277">
        <v>3642703.933702969</v>
      </c>
      <c r="S277">
        <v>-5.8053140123780454E-3</v>
      </c>
      <c r="T277">
        <v>1657.5346780090949</v>
      </c>
      <c r="U277">
        <v>715.72465594585606</v>
      </c>
      <c r="V277">
        <v>366.71121194891492</v>
      </c>
      <c r="W277">
        <v>1.9517392231944111</v>
      </c>
      <c r="X277" t="s">
        <v>57</v>
      </c>
      <c r="Z277">
        <v>713.03899999999999</v>
      </c>
      <c r="AA277">
        <v>95.163399999999996</v>
      </c>
      <c r="AB277">
        <v>32.016500000000001</v>
      </c>
      <c r="AC277">
        <v>14.214489822789</v>
      </c>
      <c r="AD277">
        <v>35.237813774830862</v>
      </c>
      <c r="AE277">
        <v>35.237813774830862</v>
      </c>
      <c r="AF277" t="s">
        <v>58</v>
      </c>
      <c r="AG277" t="b">
        <v>1</v>
      </c>
      <c r="AH277">
        <v>2.4790065780860302</v>
      </c>
      <c r="AI277">
        <v>716.47400000000005</v>
      </c>
      <c r="AJ277">
        <v>91.310100000000006</v>
      </c>
      <c r="AK277">
        <v>32.289299999999997</v>
      </c>
      <c r="AL277">
        <v>13.70198228822882</v>
      </c>
      <c r="AM277">
        <v>34.565536525533552</v>
      </c>
      <c r="AN277">
        <v>34.565536525533552</v>
      </c>
      <c r="AO277" t="s">
        <v>58</v>
      </c>
      <c r="AP277" t="b">
        <v>1</v>
      </c>
      <c r="AQ277">
        <v>2.5226668520239079</v>
      </c>
      <c r="AR277">
        <v>716.47400000000005</v>
      </c>
      <c r="AS277">
        <v>35.237813774830862</v>
      </c>
      <c r="AT277">
        <v>2.5226668520239079</v>
      </c>
      <c r="AU277" s="5">
        <v>26.322646889798655</v>
      </c>
      <c r="AV277" s="5">
        <v>37.598747297744531</v>
      </c>
      <c r="AW277" s="5">
        <v>1.8844321384618592</v>
      </c>
      <c r="AX277" s="5">
        <v>2.6916855311095098</v>
      </c>
      <c r="AY277" t="s">
        <v>59</v>
      </c>
      <c r="AZ277" t="s">
        <v>60</v>
      </c>
      <c r="BA277" s="23">
        <f t="shared" si="4"/>
        <v>0</v>
      </c>
      <c r="BB277" s="23">
        <f>IF(AND(ISNUMBER(H277),Metadata!$H$5&gt;Metadata!$G$5),MAX(Metadata!$G$5-H277,0,H277-Metadata!$H$5)/(Metadata!$H$5-Metadata!$G$5),"Missing input")</f>
        <v>0</v>
      </c>
      <c r="BC277" s="23">
        <f>IF(AND(ISNUMBER(L277),Metadata!$H$8&gt;Metadata!$G$8),MAX(Metadata!$G$8-L277,0,L277-Metadata!$H$8)/(Metadata!$H$8-Metadata!$G$8),"Missing input")</f>
        <v>0</v>
      </c>
    </row>
    <row r="278" spans="1:55" x14ac:dyDescent="0.2">
      <c r="A278" t="s">
        <v>355</v>
      </c>
      <c r="B278" t="s">
        <v>339</v>
      </c>
      <c r="C278" t="s">
        <v>84</v>
      </c>
      <c r="D278" t="s">
        <v>55</v>
      </c>
      <c r="E278" t="s">
        <v>56</v>
      </c>
      <c r="F278">
        <v>17</v>
      </c>
      <c r="G278">
        <v>46.390186033042063</v>
      </c>
      <c r="H278">
        <v>16.21387510983789</v>
      </c>
      <c r="I278">
        <v>1.57</v>
      </c>
      <c r="J278">
        <v>1.5</v>
      </c>
      <c r="K278">
        <v>0.7</v>
      </c>
      <c r="L278">
        <v>0.25</v>
      </c>
      <c r="M278">
        <v>10</v>
      </c>
      <c r="N278">
        <v>150</v>
      </c>
      <c r="Q278">
        <v>0.69813170079773179</v>
      </c>
      <c r="R278">
        <v>2210215.3729856689</v>
      </c>
      <c r="S278">
        <v>-4.1355838175609208E-3</v>
      </c>
      <c r="T278">
        <v>992.19235058261199</v>
      </c>
      <c r="U278">
        <v>777.10568399344538</v>
      </c>
      <c r="V278">
        <v>219.5115819873036</v>
      </c>
      <c r="W278">
        <v>3.5401580042295571</v>
      </c>
      <c r="X278" t="s">
        <v>57</v>
      </c>
      <c r="Z278">
        <v>707.84799999999996</v>
      </c>
      <c r="AA278">
        <v>95.091999999999999</v>
      </c>
      <c r="AB278">
        <v>51.296399999999998</v>
      </c>
      <c r="AC278">
        <v>14.952264285714289</v>
      </c>
      <c r="AD278">
        <v>73.71608885064812</v>
      </c>
      <c r="AE278">
        <v>73.71608885064812</v>
      </c>
      <c r="AF278" t="s">
        <v>58</v>
      </c>
      <c r="AG278" t="b">
        <v>1</v>
      </c>
      <c r="AH278">
        <v>4.9300953649594099</v>
      </c>
      <c r="AI278">
        <v>700.01700000000005</v>
      </c>
      <c r="AJ278">
        <v>91.381500000000003</v>
      </c>
      <c r="AK278">
        <v>55.855800000000002</v>
      </c>
      <c r="AL278">
        <v>14.36197713195045</v>
      </c>
      <c r="AM278">
        <v>80.762955026696886</v>
      </c>
      <c r="AN278">
        <v>80.762955026696886</v>
      </c>
      <c r="AO278" t="s">
        <v>58</v>
      </c>
      <c r="AP278" t="b">
        <v>1</v>
      </c>
      <c r="AQ278">
        <v>5.6233869671764856</v>
      </c>
      <c r="AR278">
        <v>707.84799999999996</v>
      </c>
      <c r="AS278">
        <v>80.762955026696886</v>
      </c>
      <c r="AT278">
        <v>5.6233869671764856</v>
      </c>
      <c r="AU278" s="5">
        <v>60.329927404942573</v>
      </c>
      <c r="AV278" s="5">
        <v>86.174073013485568</v>
      </c>
      <c r="AW278" s="5">
        <v>4.2006700644808346</v>
      </c>
      <c r="AX278" s="5">
        <v>6.00015389397731</v>
      </c>
      <c r="AY278" t="s">
        <v>59</v>
      </c>
      <c r="AZ278" t="s">
        <v>60</v>
      </c>
      <c r="BA278" s="23">
        <f t="shared" si="4"/>
        <v>0</v>
      </c>
      <c r="BB278" s="23">
        <f>IF(AND(ISNUMBER(H278),Metadata!$H$5&gt;Metadata!$G$5),MAX(Metadata!$G$5-H278,0,H278-Metadata!$H$5)/(Metadata!$H$5-Metadata!$G$5),"Missing input")</f>
        <v>0</v>
      </c>
      <c r="BC278" s="23">
        <f>IF(AND(ISNUMBER(L278),Metadata!$H$8&gt;Metadata!$G$8),MAX(Metadata!$G$8-L278,0,L278-Metadata!$H$8)/(Metadata!$H$8-Metadata!$G$8),"Missing input")</f>
        <v>0</v>
      </c>
    </row>
    <row r="279" spans="1:55" x14ac:dyDescent="0.2">
      <c r="A279" t="s">
        <v>356</v>
      </c>
      <c r="B279" t="s">
        <v>339</v>
      </c>
      <c r="C279" t="s">
        <v>84</v>
      </c>
      <c r="D279" t="s">
        <v>55</v>
      </c>
      <c r="E279" t="s">
        <v>56</v>
      </c>
      <c r="F279">
        <v>18</v>
      </c>
      <c r="G279">
        <v>54.165408264435399</v>
      </c>
      <c r="H279">
        <v>18.25275816413232</v>
      </c>
      <c r="I279">
        <v>1.57</v>
      </c>
      <c r="J279">
        <v>1.5</v>
      </c>
      <c r="K279">
        <v>0.7</v>
      </c>
      <c r="L279">
        <v>0.25</v>
      </c>
      <c r="M279">
        <v>10</v>
      </c>
      <c r="N279">
        <v>150</v>
      </c>
      <c r="Q279">
        <v>0.69813170079773179</v>
      </c>
      <c r="R279">
        <v>2919725.6187367002</v>
      </c>
      <c r="S279">
        <v>-4.4124425339444268E-3</v>
      </c>
      <c r="T279">
        <v>1250.244632367107</v>
      </c>
      <c r="U279">
        <v>804.44140245145684</v>
      </c>
      <c r="V279">
        <v>276.6027947714839</v>
      </c>
      <c r="W279">
        <v>2.908290941586646</v>
      </c>
      <c r="X279" t="s">
        <v>57</v>
      </c>
      <c r="Z279">
        <v>831.71199999999999</v>
      </c>
      <c r="AA279">
        <v>95.163399999999996</v>
      </c>
      <c r="AB279">
        <v>51.296399999999998</v>
      </c>
      <c r="AC279">
        <v>14.91751354504213</v>
      </c>
      <c r="AD279">
        <v>74.144002439977029</v>
      </c>
      <c r="AE279">
        <v>74.144002439977029</v>
      </c>
      <c r="AF279" t="s">
        <v>58</v>
      </c>
      <c r="AG279" t="b">
        <v>1</v>
      </c>
      <c r="AH279">
        <v>4.9702654679082876</v>
      </c>
      <c r="AI279">
        <v>828.11800000000005</v>
      </c>
      <c r="AJ279">
        <v>91.310100000000006</v>
      </c>
      <c r="AK279">
        <v>51.757599999999996</v>
      </c>
      <c r="AL279">
        <v>14.662961275740839</v>
      </c>
      <c r="AM279">
        <v>73.77873527835051</v>
      </c>
      <c r="AN279">
        <v>73.77873527835051</v>
      </c>
      <c r="AO279" t="s">
        <v>58</v>
      </c>
      <c r="AP279" t="b">
        <v>1</v>
      </c>
      <c r="AQ279">
        <v>5.0316395092997936</v>
      </c>
      <c r="AR279">
        <v>831.71199999999999</v>
      </c>
      <c r="AS279">
        <v>74.144002439977029</v>
      </c>
      <c r="AT279">
        <v>5.0316395092997936</v>
      </c>
      <c r="AU279" s="5">
        <v>55.385569822662838</v>
      </c>
      <c r="AV279" s="5">
        <v>79.111650603455487</v>
      </c>
      <c r="AW279" s="5">
        <v>3.7586347134469458</v>
      </c>
      <c r="AX279" s="5">
        <v>5.3687593564228795</v>
      </c>
      <c r="AY279" t="s">
        <v>59</v>
      </c>
      <c r="AZ279" t="s">
        <v>60</v>
      </c>
      <c r="BA279" s="23">
        <f t="shared" si="4"/>
        <v>0</v>
      </c>
      <c r="BB279" s="23">
        <f>IF(AND(ISNUMBER(H279),Metadata!$H$5&gt;Metadata!$G$5),MAX(Metadata!$G$5-H279,0,H279-Metadata!$H$5)/(Metadata!$H$5-Metadata!$G$5),"Missing input")</f>
        <v>0</v>
      </c>
      <c r="BC279" s="23">
        <f>IF(AND(ISNUMBER(L279),Metadata!$H$8&gt;Metadata!$G$8),MAX(Metadata!$G$8-L279,0,L279-Metadata!$H$8)/(Metadata!$H$8-Metadata!$G$8),"Missing input")</f>
        <v>0</v>
      </c>
    </row>
    <row r="280" spans="1:55" x14ac:dyDescent="0.2">
      <c r="A280" t="s">
        <v>357</v>
      </c>
      <c r="B280" t="s">
        <v>339</v>
      </c>
      <c r="C280" t="s">
        <v>84</v>
      </c>
      <c r="D280" t="s">
        <v>55</v>
      </c>
      <c r="E280" t="s">
        <v>56</v>
      </c>
      <c r="F280">
        <v>19</v>
      </c>
      <c r="G280">
        <v>21.707483118551171</v>
      </c>
      <c r="H280">
        <v>43.497365085878002</v>
      </c>
      <c r="I280">
        <v>1.57</v>
      </c>
      <c r="J280">
        <v>1.5</v>
      </c>
      <c r="K280">
        <v>0.7</v>
      </c>
      <c r="L280">
        <v>0.25</v>
      </c>
      <c r="M280">
        <v>10</v>
      </c>
      <c r="N280">
        <v>150</v>
      </c>
      <c r="Q280">
        <v>0.69813170079773179</v>
      </c>
      <c r="R280">
        <v>2786376.2799094608</v>
      </c>
      <c r="S280">
        <v>-5.7724612502541026E-3</v>
      </c>
      <c r="T280">
        <v>1327.844178866673</v>
      </c>
      <c r="U280">
        <v>669.89609780516332</v>
      </c>
      <c r="V280">
        <v>293.77083603244972</v>
      </c>
      <c r="W280">
        <v>2.2803356073479231</v>
      </c>
      <c r="X280" t="s">
        <v>57</v>
      </c>
      <c r="Z280">
        <v>565.15800000000002</v>
      </c>
      <c r="AA280">
        <v>95.163399999999996</v>
      </c>
      <c r="AB280">
        <v>30.253499999999999</v>
      </c>
      <c r="AC280">
        <v>14.06810531440162</v>
      </c>
      <c r="AD280">
        <v>33.50706326563769</v>
      </c>
      <c r="AE280">
        <v>33.50706326563769</v>
      </c>
      <c r="AF280" t="s">
        <v>58</v>
      </c>
      <c r="AG280" t="b">
        <v>1</v>
      </c>
      <c r="AH280">
        <v>2.381775123003683</v>
      </c>
      <c r="AI280">
        <v>571.07399999999996</v>
      </c>
      <c r="AJ280">
        <v>91.310100000000006</v>
      </c>
      <c r="AK280">
        <v>31.217600000000001</v>
      </c>
      <c r="AL280">
        <v>13.62967605416523</v>
      </c>
      <c r="AM280">
        <v>32.534437146867553</v>
      </c>
      <c r="AN280">
        <v>32.534437146867553</v>
      </c>
      <c r="AO280" t="s">
        <v>58</v>
      </c>
      <c r="AP280" t="b">
        <v>1</v>
      </c>
      <c r="AQ280">
        <v>2.3870293774828939</v>
      </c>
      <c r="AR280">
        <v>571.07399999999996</v>
      </c>
      <c r="AS280">
        <v>33.50706326563769</v>
      </c>
      <c r="AT280">
        <v>2.3870293774828939</v>
      </c>
      <c r="AU280" s="5">
        <v>25.029776259431355</v>
      </c>
      <c r="AV280" s="5">
        <v>35.752036504435416</v>
      </c>
      <c r="AW280" s="5">
        <v>1.7831109449797218</v>
      </c>
      <c r="AX280" s="5">
        <v>2.5469603457742478</v>
      </c>
      <c r="AY280" t="s">
        <v>64</v>
      </c>
      <c r="AZ280" t="s">
        <v>7</v>
      </c>
      <c r="BA280" s="23">
        <f t="shared" si="4"/>
        <v>9.4596678167087334E-2</v>
      </c>
      <c r="BB280" s="23">
        <f>IF(AND(ISNUMBER(H280),Metadata!$H$5&gt;Metadata!$G$5),MAX(Metadata!$G$5-H280,0,H280-Metadata!$H$5)/(Metadata!$H$5-Metadata!$G$5),"Missing input")</f>
        <v>9.4596678167087334E-2</v>
      </c>
      <c r="BC280" s="23">
        <f>IF(AND(ISNUMBER(L280),Metadata!$H$8&gt;Metadata!$G$8),MAX(Metadata!$G$8-L280,0,L280-Metadata!$H$8)/(Metadata!$H$8-Metadata!$G$8),"Missing input")</f>
        <v>0</v>
      </c>
    </row>
    <row r="281" spans="1:55" x14ac:dyDescent="0.2">
      <c r="A281" t="s">
        <v>358</v>
      </c>
      <c r="B281" t="s">
        <v>339</v>
      </c>
      <c r="C281" t="s">
        <v>84</v>
      </c>
      <c r="D281" t="s">
        <v>55</v>
      </c>
      <c r="E281" t="s">
        <v>56</v>
      </c>
      <c r="F281">
        <v>20</v>
      </c>
      <c r="G281">
        <v>53.035991243371583</v>
      </c>
      <c r="H281">
        <v>30.34654288470276</v>
      </c>
      <c r="I281">
        <v>1.57</v>
      </c>
      <c r="J281">
        <v>1.5</v>
      </c>
      <c r="K281">
        <v>0.7</v>
      </c>
      <c r="L281">
        <v>0.25</v>
      </c>
      <c r="M281">
        <v>10</v>
      </c>
      <c r="N281">
        <v>150</v>
      </c>
      <c r="Q281">
        <v>0.69813170079773179</v>
      </c>
      <c r="R281">
        <v>4782098.2730990862</v>
      </c>
      <c r="S281">
        <v>-5.562765980709399E-3</v>
      </c>
      <c r="T281">
        <v>2064.392118408005</v>
      </c>
      <c r="U281">
        <v>800.59853302729891</v>
      </c>
      <c r="V281">
        <v>456.72392000177121</v>
      </c>
      <c r="W281">
        <v>1.7529157067669989</v>
      </c>
      <c r="X281" t="s">
        <v>57</v>
      </c>
      <c r="Z281">
        <v>1003.46</v>
      </c>
      <c r="AA281">
        <v>95.163399999999996</v>
      </c>
      <c r="AB281">
        <v>37.809100000000001</v>
      </c>
      <c r="AC281">
        <v>15.14233040040806</v>
      </c>
      <c r="AD281">
        <v>44.431856044736932</v>
      </c>
      <c r="AE281">
        <v>44.431856044736932</v>
      </c>
      <c r="AF281" t="s">
        <v>58</v>
      </c>
      <c r="AG281" t="b">
        <v>1</v>
      </c>
      <c r="AH281">
        <v>2.9342812413827368</v>
      </c>
      <c r="AI281">
        <v>1005.33</v>
      </c>
      <c r="AJ281">
        <v>91.310100000000006</v>
      </c>
      <c r="AK281">
        <v>39.0974</v>
      </c>
      <c r="AL281">
        <v>14.810979100529099</v>
      </c>
      <c r="AM281">
        <v>43.297300410913728</v>
      </c>
      <c r="AN281">
        <v>43.297300410913728</v>
      </c>
      <c r="AO281" t="s">
        <v>58</v>
      </c>
      <c r="AP281" t="b">
        <v>1</v>
      </c>
      <c r="AQ281">
        <v>2.9233246578119192</v>
      </c>
      <c r="AR281">
        <v>1005.33</v>
      </c>
      <c r="AS281">
        <v>44.431856044736932</v>
      </c>
      <c r="AT281">
        <v>2.9342812413827368</v>
      </c>
      <c r="AU281" s="5">
        <v>33.190596465418487</v>
      </c>
      <c r="AV281" s="5">
        <v>47.408790399734308</v>
      </c>
      <c r="AW281" s="5">
        <v>2.1919080873129042</v>
      </c>
      <c r="AX281" s="5">
        <v>3.1308780845553801</v>
      </c>
      <c r="AY281" t="s">
        <v>59</v>
      </c>
      <c r="AZ281" t="s">
        <v>60</v>
      </c>
      <c r="BA281" s="23">
        <f t="shared" si="4"/>
        <v>0</v>
      </c>
      <c r="BB281" s="23">
        <f>IF(AND(ISNUMBER(H281),Metadata!$H$5&gt;Metadata!$G$5),MAX(Metadata!$G$5-H281,0,H281-Metadata!$H$5)/(Metadata!$H$5-Metadata!$G$5),"Missing input")</f>
        <v>0</v>
      </c>
      <c r="BC281" s="23">
        <f>IF(AND(ISNUMBER(L281),Metadata!$H$8&gt;Metadata!$G$8),MAX(Metadata!$G$8-L281,0,L281-Metadata!$H$8)/(Metadata!$H$8-Metadata!$G$8),"Missing input")</f>
        <v>0</v>
      </c>
    </row>
    <row r="282" spans="1:55" x14ac:dyDescent="0.2">
      <c r="A282" t="s">
        <v>359</v>
      </c>
      <c r="B282" t="s">
        <v>360</v>
      </c>
      <c r="C282" t="s">
        <v>84</v>
      </c>
      <c r="D282" t="s">
        <v>55</v>
      </c>
      <c r="E282" t="s">
        <v>56</v>
      </c>
      <c r="F282">
        <v>1</v>
      </c>
      <c r="G282">
        <v>22.11413992487228</v>
      </c>
      <c r="H282">
        <v>28.832065765515338</v>
      </c>
      <c r="I282">
        <v>1.57</v>
      </c>
      <c r="J282">
        <v>1.5</v>
      </c>
      <c r="K282">
        <v>0.95</v>
      </c>
      <c r="L282">
        <v>0.25</v>
      </c>
      <c r="M282">
        <v>10</v>
      </c>
      <c r="N282">
        <v>110</v>
      </c>
      <c r="Q282">
        <v>0.95199777381508888</v>
      </c>
      <c r="R282">
        <v>1866510.334985178</v>
      </c>
      <c r="S282">
        <v>-6.1125665242168477E-3</v>
      </c>
      <c r="T282">
        <v>931.93139645531812</v>
      </c>
      <c r="U282">
        <v>672.06023102885479</v>
      </c>
      <c r="V282">
        <v>206.1795124901146</v>
      </c>
      <c r="W282">
        <v>3.2595878364057969</v>
      </c>
      <c r="X282" t="s">
        <v>57</v>
      </c>
      <c r="Z282">
        <v>558.54600000000005</v>
      </c>
      <c r="AA282">
        <v>95.163399999999996</v>
      </c>
      <c r="AB282">
        <v>41.921900000000001</v>
      </c>
      <c r="AC282">
        <v>16.847062218495449</v>
      </c>
      <c r="AD282">
        <v>51.360450433100162</v>
      </c>
      <c r="AE282">
        <v>51.360450433100162</v>
      </c>
      <c r="AF282" t="s">
        <v>58</v>
      </c>
      <c r="AG282" t="b">
        <v>1</v>
      </c>
      <c r="AH282">
        <v>3.048629474206749</v>
      </c>
      <c r="AI282">
        <v>556.44399999999996</v>
      </c>
      <c r="AJ282">
        <v>91.310100000000006</v>
      </c>
      <c r="AK282">
        <v>39.358900000000013</v>
      </c>
      <c r="AL282">
        <v>16.501885537509661</v>
      </c>
      <c r="AM282">
        <v>51.770976181644862</v>
      </c>
      <c r="AN282">
        <v>51.770976181644862</v>
      </c>
      <c r="AO282" t="s">
        <v>58</v>
      </c>
      <c r="AP282" t="b">
        <v>1</v>
      </c>
      <c r="AQ282">
        <v>3.137276407836346</v>
      </c>
      <c r="AR282">
        <v>558.54600000000005</v>
      </c>
      <c r="AS282">
        <v>51.770976181644862</v>
      </c>
      <c r="AT282">
        <v>3.137276407836346</v>
      </c>
      <c r="AU282" s="5">
        <v>38.672919207688714</v>
      </c>
      <c r="AV282" s="5">
        <v>55.239631585815061</v>
      </c>
      <c r="AW282" s="5">
        <v>2.3435454766537505</v>
      </c>
      <c r="AX282" s="5">
        <v>3.3474739271613809</v>
      </c>
      <c r="AY282" t="s">
        <v>59</v>
      </c>
      <c r="AZ282" t="s">
        <v>60</v>
      </c>
      <c r="BA282" s="23">
        <f t="shared" si="4"/>
        <v>0</v>
      </c>
      <c r="BB282" s="23">
        <f>IF(AND(ISNUMBER(H282),Metadata!$H$5&gt;Metadata!$G$5),MAX(Metadata!$G$5-H282,0,H282-Metadata!$H$5)/(Metadata!$H$5-Metadata!$G$5),"Missing input")</f>
        <v>0</v>
      </c>
      <c r="BC282" s="23">
        <f>IF(AND(ISNUMBER(L282),Metadata!$H$8&gt;Metadata!$G$8),MAX(Metadata!$G$8-L282,0,L282-Metadata!$H$8)/(Metadata!$H$8-Metadata!$G$8),"Missing input")</f>
        <v>0</v>
      </c>
    </row>
    <row r="283" spans="1:55" x14ac:dyDescent="0.2">
      <c r="A283" t="s">
        <v>361</v>
      </c>
      <c r="B283" t="s">
        <v>360</v>
      </c>
      <c r="C283" t="s">
        <v>84</v>
      </c>
      <c r="D283" t="s">
        <v>55</v>
      </c>
      <c r="E283" t="s">
        <v>56</v>
      </c>
      <c r="F283">
        <v>2</v>
      </c>
      <c r="G283">
        <v>39.289372610104301</v>
      </c>
      <c r="H283">
        <v>11.43599740060767</v>
      </c>
      <c r="I283">
        <v>1.57</v>
      </c>
      <c r="J283">
        <v>1.5</v>
      </c>
      <c r="K283">
        <v>0.95</v>
      </c>
      <c r="L283">
        <v>0.25</v>
      </c>
      <c r="M283">
        <v>10</v>
      </c>
      <c r="N283">
        <v>110</v>
      </c>
      <c r="Q283">
        <v>0.95199777381508888</v>
      </c>
      <c r="R283">
        <v>1301660.814121977</v>
      </c>
      <c r="S283">
        <v>-3.8067922990613011E-3</v>
      </c>
      <c r="T283">
        <v>682.24591859950192</v>
      </c>
      <c r="U283">
        <v>750.05745558684532</v>
      </c>
      <c r="V283">
        <v>150.93936252201371</v>
      </c>
      <c r="W283">
        <v>4.9692634383390439</v>
      </c>
      <c r="X283" t="s">
        <v>57</v>
      </c>
      <c r="Z283">
        <v>578.49400000000003</v>
      </c>
      <c r="AA283">
        <v>95.1648</v>
      </c>
      <c r="AB283">
        <v>65.006200000000007</v>
      </c>
      <c r="AC283">
        <v>16.310868484719869</v>
      </c>
      <c r="AE283">
        <v>95.1648</v>
      </c>
      <c r="AF283" t="s">
        <v>62</v>
      </c>
      <c r="AG283" t="b">
        <v>0</v>
      </c>
      <c r="AH283">
        <v>5.8344410102473114</v>
      </c>
      <c r="AI283">
        <v>574.58100000000002</v>
      </c>
      <c r="AJ283">
        <v>91.308700000000002</v>
      </c>
      <c r="AK283">
        <v>64.811499999999995</v>
      </c>
      <c r="AL283">
        <v>15.84373145700903</v>
      </c>
      <c r="AM283">
        <v>78.466168732836081</v>
      </c>
      <c r="AN283">
        <v>78.466168732836081</v>
      </c>
      <c r="AO283" t="s">
        <v>58</v>
      </c>
      <c r="AP283" t="b">
        <v>1</v>
      </c>
      <c r="AQ283">
        <v>4.952505597923639</v>
      </c>
      <c r="AR283">
        <v>578.49400000000003</v>
      </c>
      <c r="AS283">
        <v>95.1648</v>
      </c>
      <c r="AT283">
        <v>5.8344410102473114</v>
      </c>
      <c r="AU283" s="5">
        <v>71.088105600000006</v>
      </c>
      <c r="AV283" s="5">
        <v>101.54084159999999</v>
      </c>
      <c r="AW283" s="5">
        <v>4.3583274346547416</v>
      </c>
      <c r="AX283" s="5">
        <v>6.2253485579338808</v>
      </c>
      <c r="AY283" t="s">
        <v>59</v>
      </c>
      <c r="AZ283" t="s">
        <v>60</v>
      </c>
      <c r="BA283" s="23">
        <f t="shared" si="4"/>
        <v>0</v>
      </c>
      <c r="BB283" s="23">
        <f>IF(AND(ISNUMBER(H283),Metadata!$H$5&gt;Metadata!$G$5),MAX(Metadata!$G$5-H283,0,H283-Metadata!$H$5)/(Metadata!$H$5-Metadata!$G$5),"Missing input")</f>
        <v>0</v>
      </c>
      <c r="BC283" s="23">
        <f>IF(AND(ISNUMBER(L283),Metadata!$H$8&gt;Metadata!$G$8),MAX(Metadata!$G$8-L283,0,L283-Metadata!$H$8)/(Metadata!$H$8-Metadata!$G$8),"Missing input")</f>
        <v>0</v>
      </c>
    </row>
    <row r="284" spans="1:55" x14ac:dyDescent="0.2">
      <c r="A284" t="s">
        <v>362</v>
      </c>
      <c r="B284" t="s">
        <v>360</v>
      </c>
      <c r="C284" t="s">
        <v>84</v>
      </c>
      <c r="D284" t="s">
        <v>55</v>
      </c>
      <c r="E284" t="s">
        <v>56</v>
      </c>
      <c r="F284">
        <v>3</v>
      </c>
      <c r="G284">
        <v>50.720967279676117</v>
      </c>
      <c r="H284">
        <v>41.572102032205443</v>
      </c>
      <c r="I284">
        <v>1.57</v>
      </c>
      <c r="J284">
        <v>1.5</v>
      </c>
      <c r="K284">
        <v>0.95</v>
      </c>
      <c r="L284">
        <v>0.25</v>
      </c>
      <c r="M284">
        <v>10</v>
      </c>
      <c r="N284">
        <v>110</v>
      </c>
      <c r="Q284">
        <v>0.95199777381508888</v>
      </c>
      <c r="R284">
        <v>6279453.0057685468</v>
      </c>
      <c r="S284">
        <v>-6.5126825136775724E-3</v>
      </c>
      <c r="T284">
        <v>2795.5189136654449</v>
      </c>
      <c r="U284">
        <v>792.59154081609961</v>
      </c>
      <c r="V284">
        <v>618.47763576669149</v>
      </c>
      <c r="W284">
        <v>1.2815201310126101</v>
      </c>
      <c r="X284" t="s">
        <v>57</v>
      </c>
      <c r="Z284">
        <v>1039.1500000000001</v>
      </c>
      <c r="AA284">
        <v>95.163399999999996</v>
      </c>
      <c r="AB284">
        <v>32.772100000000002</v>
      </c>
      <c r="AC284">
        <v>14.94362574312334</v>
      </c>
      <c r="AD284">
        <v>35.413584228517713</v>
      </c>
      <c r="AE284">
        <v>35.413584228517713</v>
      </c>
      <c r="AF284" t="s">
        <v>58</v>
      </c>
      <c r="AG284" t="b">
        <v>1</v>
      </c>
      <c r="AH284">
        <v>2.36981204141934</v>
      </c>
      <c r="AI284">
        <v>1038.94</v>
      </c>
      <c r="AJ284">
        <v>91.310100000000006</v>
      </c>
      <c r="AK284">
        <v>32.289299999999997</v>
      </c>
      <c r="AL284">
        <v>14.03044845132743</v>
      </c>
      <c r="AM284">
        <v>34.776882455517658</v>
      </c>
      <c r="AN284">
        <v>34.776882455517658</v>
      </c>
      <c r="AO284" t="s">
        <v>58</v>
      </c>
      <c r="AP284" t="b">
        <v>1</v>
      </c>
      <c r="AQ284">
        <v>2.4786721947028991</v>
      </c>
      <c r="AR284">
        <v>1039.1500000000001</v>
      </c>
      <c r="AS284">
        <v>35.413584228517713</v>
      </c>
      <c r="AT284">
        <v>2.4786721947028991</v>
      </c>
      <c r="AU284" s="5">
        <v>26.453947418702732</v>
      </c>
      <c r="AV284" s="5">
        <v>37.786294371828397</v>
      </c>
      <c r="AW284" s="5">
        <v>1.8515681294430657</v>
      </c>
      <c r="AX284" s="5">
        <v>2.6447432317479933</v>
      </c>
      <c r="AY284" t="s">
        <v>64</v>
      </c>
      <c r="AZ284" t="s">
        <v>7</v>
      </c>
      <c r="BA284" s="23">
        <f t="shared" si="4"/>
        <v>4.6063612035701466E-2</v>
      </c>
      <c r="BB284" s="23">
        <f>IF(AND(ISNUMBER(H284),Metadata!$H$5&gt;Metadata!$G$5),MAX(Metadata!$G$5-H284,0,H284-Metadata!$H$5)/(Metadata!$H$5-Metadata!$G$5),"Missing input")</f>
        <v>4.6063612035701466E-2</v>
      </c>
      <c r="BC284" s="23">
        <f>IF(AND(ISNUMBER(L284),Metadata!$H$8&gt;Metadata!$G$8),MAX(Metadata!$G$8-L284,0,L284-Metadata!$H$8)/(Metadata!$H$8-Metadata!$G$8),"Missing input")</f>
        <v>0</v>
      </c>
    </row>
    <row r="285" spans="1:55" x14ac:dyDescent="0.2">
      <c r="A285" t="s">
        <v>363</v>
      </c>
      <c r="B285" t="s">
        <v>360</v>
      </c>
      <c r="C285" t="s">
        <v>84</v>
      </c>
      <c r="D285" t="s">
        <v>55</v>
      </c>
      <c r="E285" t="s">
        <v>56</v>
      </c>
      <c r="F285">
        <v>4</v>
      </c>
      <c r="G285">
        <v>40.065365059576777</v>
      </c>
      <c r="H285">
        <v>25.23064360495534</v>
      </c>
      <c r="I285">
        <v>1.57</v>
      </c>
      <c r="J285">
        <v>1.5</v>
      </c>
      <c r="K285">
        <v>0.95</v>
      </c>
      <c r="L285">
        <v>0.25</v>
      </c>
      <c r="M285">
        <v>10</v>
      </c>
      <c r="N285">
        <v>110</v>
      </c>
      <c r="Q285">
        <v>0.95199777381508888</v>
      </c>
      <c r="R285">
        <v>2986346.165161836</v>
      </c>
      <c r="S285">
        <v>-5.7904443799782742E-3</v>
      </c>
      <c r="T285">
        <v>1323.2635029237761</v>
      </c>
      <c r="U285">
        <v>753.12627800274458</v>
      </c>
      <c r="V285">
        <v>292.75741215127789</v>
      </c>
      <c r="W285">
        <v>2.5725267636044622</v>
      </c>
      <c r="X285" t="s">
        <v>57</v>
      </c>
      <c r="Z285">
        <v>787.54600000000005</v>
      </c>
      <c r="AA285">
        <v>95.163399999999996</v>
      </c>
      <c r="AB285">
        <v>44.910200000000003</v>
      </c>
      <c r="AC285">
        <v>16.230629009687831</v>
      </c>
      <c r="AD285">
        <v>56.606715499169589</v>
      </c>
      <c r="AE285">
        <v>56.606715499169589</v>
      </c>
      <c r="AF285" t="s">
        <v>58</v>
      </c>
      <c r="AG285" t="b">
        <v>1</v>
      </c>
      <c r="AH285">
        <v>3.487647673135887</v>
      </c>
      <c r="AI285">
        <v>784.76400000000001</v>
      </c>
      <c r="AJ285">
        <v>91.310100000000006</v>
      </c>
      <c r="AK285">
        <v>46.261299999999999</v>
      </c>
      <c r="AL285">
        <v>15.92492653946227</v>
      </c>
      <c r="AM285">
        <v>56.168253801093712</v>
      </c>
      <c r="AN285">
        <v>56.168253801093712</v>
      </c>
      <c r="AO285" t="s">
        <v>58</v>
      </c>
      <c r="AP285" t="b">
        <v>1</v>
      </c>
      <c r="AQ285">
        <v>3.5270651743295458</v>
      </c>
      <c r="AR285">
        <v>787.54600000000005</v>
      </c>
      <c r="AS285">
        <v>56.606715499169589</v>
      </c>
      <c r="AT285">
        <v>3.5270651743295458</v>
      </c>
      <c r="AU285" s="5">
        <v>42.285216477879679</v>
      </c>
      <c r="AV285" s="5">
        <v>60.399365437613952</v>
      </c>
      <c r="AW285" s="5">
        <v>2.6347176852241705</v>
      </c>
      <c r="AX285" s="5">
        <v>3.763378541009625</v>
      </c>
      <c r="AY285" t="s">
        <v>59</v>
      </c>
      <c r="AZ285" t="s">
        <v>60</v>
      </c>
      <c r="BA285" s="23">
        <f t="shared" si="4"/>
        <v>0</v>
      </c>
      <c r="BB285" s="23">
        <f>IF(AND(ISNUMBER(H285),Metadata!$H$5&gt;Metadata!$G$5),MAX(Metadata!$G$5-H285,0,H285-Metadata!$H$5)/(Metadata!$H$5-Metadata!$G$5),"Missing input")</f>
        <v>0</v>
      </c>
      <c r="BC285" s="23">
        <f>IF(AND(ISNUMBER(L285),Metadata!$H$8&gt;Metadata!$G$8),MAX(Metadata!$G$8-L285,0,L285-Metadata!$H$8)/(Metadata!$H$8-Metadata!$G$8),"Missing input")</f>
        <v>0</v>
      </c>
    </row>
    <row r="286" spans="1:55" x14ac:dyDescent="0.2">
      <c r="A286" t="s">
        <v>364</v>
      </c>
      <c r="B286" t="s">
        <v>360</v>
      </c>
      <c r="C286" t="s">
        <v>84</v>
      </c>
      <c r="D286" t="s">
        <v>55</v>
      </c>
      <c r="E286" t="s">
        <v>56</v>
      </c>
      <c r="F286">
        <v>5</v>
      </c>
      <c r="G286">
        <v>44.691650234033148</v>
      </c>
      <c r="H286">
        <v>35.278860063057749</v>
      </c>
      <c r="I286">
        <v>1.57</v>
      </c>
      <c r="J286">
        <v>1.5</v>
      </c>
      <c r="K286">
        <v>0.95</v>
      </c>
      <c r="L286">
        <v>0.25</v>
      </c>
      <c r="M286">
        <v>10</v>
      </c>
      <c r="N286">
        <v>110</v>
      </c>
      <c r="Q286">
        <v>0.95199777381508888</v>
      </c>
      <c r="R286">
        <v>4683732.748780732</v>
      </c>
      <c r="S286">
        <v>-6.4461243765562073E-3</v>
      </c>
      <c r="T286">
        <v>2061.9786008310161</v>
      </c>
      <c r="U286">
        <v>770.83560231362162</v>
      </c>
      <c r="V286">
        <v>456.18995593606547</v>
      </c>
      <c r="W286">
        <v>1.689725063612872</v>
      </c>
      <c r="X286" t="s">
        <v>57</v>
      </c>
      <c r="Z286">
        <v>928.13699999999994</v>
      </c>
      <c r="AA286">
        <v>95.163399999999996</v>
      </c>
      <c r="AB286">
        <v>37.557300000000012</v>
      </c>
      <c r="AC286">
        <v>15.489746185363099</v>
      </c>
      <c r="AD286">
        <v>40.885487364610817</v>
      </c>
      <c r="AE286">
        <v>40.885487364610817</v>
      </c>
      <c r="AF286" t="s">
        <v>58</v>
      </c>
      <c r="AG286" t="b">
        <v>1</v>
      </c>
      <c r="AH286">
        <v>2.6395195166751799</v>
      </c>
      <c r="AI286">
        <v>923.83399999999995</v>
      </c>
      <c r="AJ286">
        <v>91.310100000000006</v>
      </c>
      <c r="AK286">
        <v>37.0047</v>
      </c>
      <c r="AL286">
        <v>14.84274232179693</v>
      </c>
      <c r="AM286">
        <v>39.974201969352713</v>
      </c>
      <c r="AN286">
        <v>39.974201969352713</v>
      </c>
      <c r="AO286" t="s">
        <v>58</v>
      </c>
      <c r="AP286" t="b">
        <v>1</v>
      </c>
      <c r="AQ286">
        <v>2.6931816980107262</v>
      </c>
      <c r="AR286">
        <v>928.13699999999994</v>
      </c>
      <c r="AS286">
        <v>40.885487364610817</v>
      </c>
      <c r="AT286">
        <v>2.6931816980107262</v>
      </c>
      <c r="AU286" s="5">
        <v>30.541459061364282</v>
      </c>
      <c r="AV286" s="5">
        <v>43.62481501803974</v>
      </c>
      <c r="AW286" s="5">
        <v>2.0118067284140126</v>
      </c>
      <c r="AX286" s="5">
        <v>2.8736248717774449</v>
      </c>
      <c r="AY286" t="s">
        <v>59</v>
      </c>
      <c r="AZ286" t="s">
        <v>60</v>
      </c>
      <c r="BA286" s="23">
        <f t="shared" si="4"/>
        <v>0</v>
      </c>
      <c r="BB286" s="23">
        <f>IF(AND(ISNUMBER(H286),Metadata!$H$5&gt;Metadata!$G$5),MAX(Metadata!$G$5-H286,0,H286-Metadata!$H$5)/(Metadata!$H$5-Metadata!$G$5),"Missing input")</f>
        <v>0</v>
      </c>
      <c r="BC286" s="23">
        <f>IF(AND(ISNUMBER(L286),Metadata!$H$8&gt;Metadata!$G$8),MAX(Metadata!$G$8-L286,0,L286-Metadata!$H$8)/(Metadata!$H$8-Metadata!$G$8),"Missing input")</f>
        <v>0</v>
      </c>
    </row>
    <row r="287" spans="1:55" x14ac:dyDescent="0.2">
      <c r="A287" t="s">
        <v>365</v>
      </c>
      <c r="B287" t="s">
        <v>360</v>
      </c>
      <c r="C287" t="s">
        <v>84</v>
      </c>
      <c r="D287" t="s">
        <v>55</v>
      </c>
      <c r="E287" t="s">
        <v>56</v>
      </c>
      <c r="F287">
        <v>6</v>
      </c>
      <c r="G287">
        <v>33.086500490231572</v>
      </c>
      <c r="H287">
        <v>19.79580616436397</v>
      </c>
      <c r="I287">
        <v>1.57</v>
      </c>
      <c r="J287">
        <v>1.5</v>
      </c>
      <c r="K287">
        <v>0.95</v>
      </c>
      <c r="L287">
        <v>0.25</v>
      </c>
      <c r="M287">
        <v>10</v>
      </c>
      <c r="N287">
        <v>110</v>
      </c>
      <c r="Q287">
        <v>0.95199777381508888</v>
      </c>
      <c r="R287">
        <v>1918643.176085273</v>
      </c>
      <c r="S287">
        <v>-5.1216562484238254E-3</v>
      </c>
      <c r="T287">
        <v>915.0391797947683</v>
      </c>
      <c r="U287">
        <v>724.34809556380162</v>
      </c>
      <c r="V287">
        <v>202.44229641477179</v>
      </c>
      <c r="W287">
        <v>3.578047218352673</v>
      </c>
      <c r="X287" t="s">
        <v>57</v>
      </c>
      <c r="Z287">
        <v>643.82299999999998</v>
      </c>
      <c r="AA287">
        <v>95.050300000000007</v>
      </c>
      <c r="AB287">
        <v>51.518700000000003</v>
      </c>
      <c r="AC287">
        <v>16.80020977887505</v>
      </c>
      <c r="AD287">
        <v>73.323432242827153</v>
      </c>
      <c r="AE287">
        <v>73.323432242827153</v>
      </c>
      <c r="AF287" t="s">
        <v>58</v>
      </c>
      <c r="AG287" t="b">
        <v>1</v>
      </c>
      <c r="AH287">
        <v>4.364435516455611</v>
      </c>
      <c r="AI287">
        <v>631.94600000000003</v>
      </c>
      <c r="AJ287">
        <v>90.817700000000002</v>
      </c>
      <c r="AK287">
        <v>39.358900000000013</v>
      </c>
      <c r="AL287">
        <v>15.95121825</v>
      </c>
      <c r="AN287">
        <v>90.817700000000002</v>
      </c>
      <c r="AO287" t="s">
        <v>62</v>
      </c>
      <c r="AP287" t="b">
        <v>0</v>
      </c>
      <c r="AQ287">
        <v>5.6934648236036756</v>
      </c>
      <c r="AR287">
        <v>643.82299999999998</v>
      </c>
      <c r="AS287">
        <v>90.817700000000002</v>
      </c>
      <c r="AT287">
        <v>5.6934648236036756</v>
      </c>
      <c r="AU287" s="5">
        <v>67.840821899999995</v>
      </c>
      <c r="AV287" s="5">
        <v>96.902485900000002</v>
      </c>
      <c r="AW287" s="5">
        <v>4.2530182232319458</v>
      </c>
      <c r="AX287" s="5">
        <v>6.0749269667851218</v>
      </c>
      <c r="AY287" t="s">
        <v>59</v>
      </c>
      <c r="AZ287" t="s">
        <v>60</v>
      </c>
      <c r="BA287" s="23">
        <f t="shared" si="4"/>
        <v>0</v>
      </c>
      <c r="BB287" s="23">
        <f>IF(AND(ISNUMBER(H287),Metadata!$H$5&gt;Metadata!$G$5),MAX(Metadata!$G$5-H287,0,H287-Metadata!$H$5)/(Metadata!$H$5-Metadata!$G$5),"Missing input")</f>
        <v>0</v>
      </c>
      <c r="BC287" s="23">
        <f>IF(AND(ISNUMBER(L287),Metadata!$H$8&gt;Metadata!$G$8),MAX(Metadata!$G$8-L287,0,L287-Metadata!$H$8)/(Metadata!$H$8-Metadata!$G$8),"Missing input")</f>
        <v>0</v>
      </c>
    </row>
    <row r="288" spans="1:55" x14ac:dyDescent="0.2">
      <c r="A288" t="s">
        <v>366</v>
      </c>
      <c r="B288" t="s">
        <v>360</v>
      </c>
      <c r="C288" t="s">
        <v>84</v>
      </c>
      <c r="D288" t="s">
        <v>55</v>
      </c>
      <c r="E288" t="s">
        <v>56</v>
      </c>
      <c r="F288">
        <v>7</v>
      </c>
      <c r="G288">
        <v>42.943727860216583</v>
      </c>
      <c r="H288">
        <v>31.604415760045629</v>
      </c>
      <c r="I288">
        <v>1.57</v>
      </c>
      <c r="J288">
        <v>1.5</v>
      </c>
      <c r="K288">
        <v>0.95</v>
      </c>
      <c r="L288">
        <v>0.25</v>
      </c>
      <c r="M288">
        <v>10</v>
      </c>
      <c r="N288">
        <v>110</v>
      </c>
      <c r="Q288">
        <v>0.95199777381508888</v>
      </c>
      <c r="R288">
        <v>4025355.613741619</v>
      </c>
      <c r="S288">
        <v>-6.2926777317237137E-3</v>
      </c>
      <c r="T288">
        <v>1767.125197942283</v>
      </c>
      <c r="U288">
        <v>764.25751687900618</v>
      </c>
      <c r="V288">
        <v>390.95690219962017</v>
      </c>
      <c r="W288">
        <v>1.9548382764931489</v>
      </c>
      <c r="X288" t="s">
        <v>57</v>
      </c>
      <c r="Z288">
        <v>877.90599999999995</v>
      </c>
      <c r="AA288">
        <v>95.163399999999996</v>
      </c>
      <c r="AB288">
        <v>40.128999999999998</v>
      </c>
      <c r="AC288">
        <v>15.673317130919219</v>
      </c>
      <c r="AD288">
        <v>45.072170592219933</v>
      </c>
      <c r="AE288">
        <v>45.072170592219933</v>
      </c>
      <c r="AF288" t="s">
        <v>58</v>
      </c>
      <c r="AG288" t="b">
        <v>1</v>
      </c>
      <c r="AH288">
        <v>2.8757263198167999</v>
      </c>
      <c r="AI288">
        <v>878.197</v>
      </c>
      <c r="AJ288">
        <v>91.310100000000006</v>
      </c>
      <c r="AK288">
        <v>39.358900000000013</v>
      </c>
      <c r="AL288">
        <v>15.304210969323609</v>
      </c>
      <c r="AM288">
        <v>45.079539389364697</v>
      </c>
      <c r="AN288">
        <v>45.079539389364697</v>
      </c>
      <c r="AO288" t="s">
        <v>58</v>
      </c>
      <c r="AP288" t="b">
        <v>1</v>
      </c>
      <c r="AQ288">
        <v>2.9455644253548239</v>
      </c>
      <c r="AR288">
        <v>878.197</v>
      </c>
      <c r="AS288">
        <v>45.079539389364697</v>
      </c>
      <c r="AT288">
        <v>2.9455644253548239</v>
      </c>
      <c r="AU288" s="5">
        <v>33.674415923855427</v>
      </c>
      <c r="AV288" s="5">
        <v>48.099868528452127</v>
      </c>
      <c r="AW288" s="5">
        <v>2.2003366257400536</v>
      </c>
      <c r="AX288" s="5">
        <v>3.1429172418535969</v>
      </c>
      <c r="AY288" t="s">
        <v>59</v>
      </c>
      <c r="AZ288" t="s">
        <v>60</v>
      </c>
      <c r="BA288" s="23">
        <f t="shared" si="4"/>
        <v>0</v>
      </c>
      <c r="BB288" s="23">
        <f>IF(AND(ISNUMBER(H288),Metadata!$H$5&gt;Metadata!$G$5),MAX(Metadata!$G$5-H288,0,H288-Metadata!$H$5)/(Metadata!$H$5-Metadata!$G$5),"Missing input")</f>
        <v>0</v>
      </c>
      <c r="BC288" s="23">
        <f>IF(AND(ISNUMBER(L288),Metadata!$H$8&gt;Metadata!$G$8),MAX(Metadata!$G$8-L288,0,L288-Metadata!$H$8)/(Metadata!$H$8-Metadata!$G$8),"Missing input")</f>
        <v>0</v>
      </c>
    </row>
    <row r="289" spans="1:55" x14ac:dyDescent="0.2">
      <c r="A289" t="s">
        <v>367</v>
      </c>
      <c r="B289" t="s">
        <v>360</v>
      </c>
      <c r="C289" t="s">
        <v>84</v>
      </c>
      <c r="D289" t="s">
        <v>55</v>
      </c>
      <c r="E289" t="s">
        <v>56</v>
      </c>
      <c r="F289">
        <v>8</v>
      </c>
      <c r="G289">
        <v>29.155454969686971</v>
      </c>
      <c r="H289">
        <v>7.3398505058277053</v>
      </c>
      <c r="I289">
        <v>1.57</v>
      </c>
      <c r="J289">
        <v>1.5</v>
      </c>
      <c r="K289">
        <v>0.95</v>
      </c>
      <c r="L289">
        <v>0.25</v>
      </c>
      <c r="M289">
        <v>10</v>
      </c>
      <c r="N289">
        <v>110</v>
      </c>
      <c r="Q289">
        <v>0.95199777381508888</v>
      </c>
      <c r="R289">
        <v>595711.36772068124</v>
      </c>
      <c r="S289">
        <v>-3.144499542950303E-3</v>
      </c>
      <c r="T289">
        <v>480.50831710260849</v>
      </c>
      <c r="U289">
        <v>706.7858992589853</v>
      </c>
      <c r="V289">
        <v>106.3071498014621</v>
      </c>
      <c r="W289">
        <v>6.6485264686238876</v>
      </c>
      <c r="X289" t="s">
        <v>57</v>
      </c>
      <c r="Z289">
        <v>440.41399999999999</v>
      </c>
      <c r="AA289">
        <v>95.163399999999996</v>
      </c>
      <c r="AB289">
        <v>51.296399999999998</v>
      </c>
      <c r="AC289">
        <v>17.039841610738261</v>
      </c>
      <c r="AE289">
        <v>95.163399999999996</v>
      </c>
      <c r="AF289" t="s">
        <v>62</v>
      </c>
      <c r="AG289" t="b">
        <v>0</v>
      </c>
      <c r="AH289">
        <v>5.5847584839068816</v>
      </c>
      <c r="AI289">
        <v>434.81400000000002</v>
      </c>
      <c r="AJ289">
        <v>91.310100000000006</v>
      </c>
      <c r="AK289">
        <v>64.811499999999995</v>
      </c>
      <c r="AL289">
        <v>16.327714406779659</v>
      </c>
      <c r="AN289">
        <v>91.310100000000006</v>
      </c>
      <c r="AO289" t="s">
        <v>62</v>
      </c>
      <c r="AP289" t="b">
        <v>0</v>
      </c>
      <c r="AQ289">
        <v>5.592338139016312</v>
      </c>
      <c r="AR289">
        <v>440.41399999999999</v>
      </c>
      <c r="AS289">
        <v>95.163399999999996</v>
      </c>
      <c r="AT289">
        <v>5.592338139016312</v>
      </c>
      <c r="AU289" s="5">
        <v>71.087059799999992</v>
      </c>
      <c r="AV289" s="5">
        <v>101.53934779999999</v>
      </c>
      <c r="AW289" s="5">
        <v>4.1774765898451847</v>
      </c>
      <c r="AX289" s="5">
        <v>5.9670247943304044</v>
      </c>
      <c r="AY289" t="s">
        <v>59</v>
      </c>
      <c r="AZ289" t="s">
        <v>60</v>
      </c>
      <c r="BA289" s="23">
        <f t="shared" si="4"/>
        <v>0</v>
      </c>
      <c r="BB289" s="23">
        <f>IF(AND(ISNUMBER(H289),Metadata!$H$5&gt;Metadata!$G$5),MAX(Metadata!$G$5-H289,0,H289-Metadata!$H$5)/(Metadata!$H$5-Metadata!$G$5),"Missing input")</f>
        <v>0</v>
      </c>
      <c r="BC289" s="23">
        <f>IF(AND(ISNUMBER(L289),Metadata!$H$8&gt;Metadata!$G$8),MAX(Metadata!$G$8-L289,0,L289-Metadata!$H$8)/(Metadata!$H$8-Metadata!$G$8),"Missing input")</f>
        <v>0</v>
      </c>
    </row>
    <row r="290" spans="1:55" x14ac:dyDescent="0.2">
      <c r="A290" t="s">
        <v>368</v>
      </c>
      <c r="B290" t="s">
        <v>360</v>
      </c>
      <c r="C290" t="s">
        <v>84</v>
      </c>
      <c r="D290" t="s">
        <v>55</v>
      </c>
      <c r="E290" t="s">
        <v>56</v>
      </c>
      <c r="F290">
        <v>9</v>
      </c>
      <c r="G290">
        <v>59.748609235827082</v>
      </c>
      <c r="H290">
        <v>37.783512331141722</v>
      </c>
      <c r="I290">
        <v>1.57</v>
      </c>
      <c r="J290">
        <v>1.5</v>
      </c>
      <c r="K290">
        <v>0.95</v>
      </c>
      <c r="L290">
        <v>0.25</v>
      </c>
      <c r="M290">
        <v>10</v>
      </c>
      <c r="N290">
        <v>110</v>
      </c>
      <c r="Q290">
        <v>0.95199777381508888</v>
      </c>
      <c r="R290">
        <v>6726258.2664913209</v>
      </c>
      <c r="S290">
        <v>-6.5000713716715022E-3</v>
      </c>
      <c r="T290">
        <v>2958.9793454838732</v>
      </c>
      <c r="U290">
        <v>822.87545002106197</v>
      </c>
      <c r="V290">
        <v>654.64144811590108</v>
      </c>
      <c r="W290">
        <v>1.256986480751179</v>
      </c>
      <c r="X290" t="s">
        <v>57</v>
      </c>
      <c r="Z290">
        <v>1171.79</v>
      </c>
      <c r="AA290">
        <v>95.040599999999998</v>
      </c>
      <c r="AB290">
        <v>35.542400000000001</v>
      </c>
      <c r="AC290">
        <v>15.52324588853838</v>
      </c>
      <c r="AD290">
        <v>37.85963401816241</v>
      </c>
      <c r="AE290">
        <v>37.85963401816241</v>
      </c>
      <c r="AF290" t="s">
        <v>58</v>
      </c>
      <c r="AG290" t="b">
        <v>1</v>
      </c>
      <c r="AH290">
        <v>2.438899331364464</v>
      </c>
      <c r="AI290">
        <v>1154.93</v>
      </c>
      <c r="AJ290">
        <v>90.827399999999997</v>
      </c>
      <c r="AK290">
        <v>32.289299999999997</v>
      </c>
      <c r="AL290">
        <v>14.364322151684441</v>
      </c>
      <c r="AM290">
        <v>39.283492189914313</v>
      </c>
      <c r="AN290">
        <v>39.283492189914313</v>
      </c>
      <c r="AO290" t="s">
        <v>58</v>
      </c>
      <c r="AP290" t="b">
        <v>1</v>
      </c>
      <c r="AQ290">
        <v>2.7347960993277849</v>
      </c>
      <c r="AR290">
        <v>1171.79</v>
      </c>
      <c r="AS290">
        <v>39.283492189914313</v>
      </c>
      <c r="AT290">
        <v>2.7347960993277849</v>
      </c>
      <c r="AU290" s="5">
        <v>29.344768665865992</v>
      </c>
      <c r="AV290" s="5">
        <v>41.915486166638573</v>
      </c>
      <c r="AW290" s="5">
        <v>2.0428926861978551</v>
      </c>
      <c r="AX290" s="5">
        <v>2.9180274379827464</v>
      </c>
      <c r="AY290" t="s">
        <v>59</v>
      </c>
      <c r="AZ290" t="s">
        <v>60</v>
      </c>
      <c r="BA290" s="23">
        <f t="shared" si="4"/>
        <v>0</v>
      </c>
      <c r="BB290" s="23">
        <f>IF(AND(ISNUMBER(H290),Metadata!$H$5&gt;Metadata!$G$5),MAX(Metadata!$G$5-H290,0,H290-Metadata!$H$5)/(Metadata!$H$5-Metadata!$G$5),"Missing input")</f>
        <v>0</v>
      </c>
      <c r="BC290" s="23">
        <f>IF(AND(ISNUMBER(L290),Metadata!$H$8&gt;Metadata!$G$8),MAX(Metadata!$G$8-L290,0,L290-Metadata!$H$8)/(Metadata!$H$8-Metadata!$G$8),"Missing input")</f>
        <v>0</v>
      </c>
    </row>
    <row r="291" spans="1:55" x14ac:dyDescent="0.2">
      <c r="A291" t="s">
        <v>369</v>
      </c>
      <c r="B291" t="s">
        <v>360</v>
      </c>
      <c r="C291" t="s">
        <v>84</v>
      </c>
      <c r="D291" t="s">
        <v>55</v>
      </c>
      <c r="E291" t="s">
        <v>56</v>
      </c>
      <c r="F291">
        <v>10</v>
      </c>
      <c r="G291">
        <v>34.746337553007109</v>
      </c>
      <c r="H291">
        <v>23.7414613202046</v>
      </c>
      <c r="I291">
        <v>1.57</v>
      </c>
      <c r="J291">
        <v>1.5</v>
      </c>
      <c r="K291">
        <v>0.95</v>
      </c>
      <c r="L291">
        <v>0.25</v>
      </c>
      <c r="M291">
        <v>10</v>
      </c>
      <c r="N291">
        <v>110</v>
      </c>
      <c r="Q291">
        <v>0.95199777381508888</v>
      </c>
      <c r="R291">
        <v>2428507.8121004719</v>
      </c>
      <c r="S291">
        <v>-5.6280617425168572E-3</v>
      </c>
      <c r="T291">
        <v>1111.217336052197</v>
      </c>
      <c r="U291">
        <v>731.44834288856589</v>
      </c>
      <c r="V291">
        <v>245.84454337438001</v>
      </c>
      <c r="W291">
        <v>2.975247417937168</v>
      </c>
      <c r="X291" t="s">
        <v>57</v>
      </c>
      <c r="Z291">
        <v>703.15899999999999</v>
      </c>
      <c r="AA291">
        <v>95.163399999999996</v>
      </c>
      <c r="AB291">
        <v>47.882399999999997</v>
      </c>
      <c r="AC291">
        <v>16.49914446990832</v>
      </c>
      <c r="AD291">
        <v>60.890021152343749</v>
      </c>
      <c r="AE291">
        <v>60.890021152343749</v>
      </c>
      <c r="AF291" t="s">
        <v>58</v>
      </c>
      <c r="AG291" t="b">
        <v>1</v>
      </c>
      <c r="AH291">
        <v>3.6904956656023562</v>
      </c>
      <c r="AI291">
        <v>699.73400000000004</v>
      </c>
      <c r="AJ291">
        <v>91.310100000000006</v>
      </c>
      <c r="AK291">
        <v>47.635399999999997</v>
      </c>
      <c r="AL291">
        <v>16.146896901226601</v>
      </c>
      <c r="AM291">
        <v>60.534027322368424</v>
      </c>
      <c r="AN291">
        <v>60.534027322368424</v>
      </c>
      <c r="AO291" t="s">
        <v>58</v>
      </c>
      <c r="AP291" t="b">
        <v>1</v>
      </c>
      <c r="AQ291">
        <v>3.7489573193329759</v>
      </c>
      <c r="AR291">
        <v>703.15899999999999</v>
      </c>
      <c r="AS291">
        <v>60.890021152343749</v>
      </c>
      <c r="AT291">
        <v>3.7489573193329759</v>
      </c>
      <c r="AU291" s="5">
        <v>45.484845800800784</v>
      </c>
      <c r="AV291" s="5">
        <v>64.969652569550775</v>
      </c>
      <c r="AW291" s="5">
        <v>2.8004711175417332</v>
      </c>
      <c r="AX291" s="5">
        <v>4.0001374597282853</v>
      </c>
      <c r="AY291" t="s">
        <v>59</v>
      </c>
      <c r="AZ291" t="s">
        <v>60</v>
      </c>
      <c r="BA291" s="23">
        <f t="shared" si="4"/>
        <v>0</v>
      </c>
      <c r="BB291" s="23">
        <f>IF(AND(ISNUMBER(H291),Metadata!$H$5&gt;Metadata!$G$5),MAX(Metadata!$G$5-H291,0,H291-Metadata!$H$5)/(Metadata!$H$5-Metadata!$G$5),"Missing input")</f>
        <v>0</v>
      </c>
      <c r="BC291" s="23">
        <f>IF(AND(ISNUMBER(L291),Metadata!$H$8&gt;Metadata!$G$8),MAX(Metadata!$G$8-L291,0,L291-Metadata!$H$8)/(Metadata!$H$8-Metadata!$G$8),"Missing input")</f>
        <v>0</v>
      </c>
    </row>
    <row r="292" spans="1:55" x14ac:dyDescent="0.2">
      <c r="A292" t="s">
        <v>370</v>
      </c>
      <c r="B292" t="s">
        <v>360</v>
      </c>
      <c r="C292" t="s">
        <v>84</v>
      </c>
      <c r="D292" t="s">
        <v>55</v>
      </c>
      <c r="E292" t="s">
        <v>56</v>
      </c>
      <c r="F292">
        <v>11</v>
      </c>
      <c r="G292">
        <v>24.502161634428251</v>
      </c>
      <c r="H292">
        <v>33.048591474592847</v>
      </c>
      <c r="I292">
        <v>1.57</v>
      </c>
      <c r="J292">
        <v>1.5</v>
      </c>
      <c r="K292">
        <v>0.95</v>
      </c>
      <c r="L292">
        <v>0.25</v>
      </c>
      <c r="M292">
        <v>10</v>
      </c>
      <c r="N292">
        <v>110</v>
      </c>
      <c r="Q292">
        <v>0.95199777381508888</v>
      </c>
      <c r="R292">
        <v>2383007.1153019848</v>
      </c>
      <c r="S292">
        <v>-6.3641174755411827E-3</v>
      </c>
      <c r="T292">
        <v>1134.971999997148</v>
      </c>
      <c r="U292">
        <v>684.38581388777777</v>
      </c>
      <c r="V292">
        <v>251.099999999369</v>
      </c>
      <c r="W292">
        <v>2.7255508318976411</v>
      </c>
      <c r="X292" t="s">
        <v>57</v>
      </c>
      <c r="Z292">
        <v>607.75800000000004</v>
      </c>
      <c r="AA292">
        <v>95.163399999999996</v>
      </c>
      <c r="AB292">
        <v>37.809100000000001</v>
      </c>
      <c r="AC292">
        <v>16.15222975460123</v>
      </c>
      <c r="AD292">
        <v>45.129382030792023</v>
      </c>
      <c r="AE292">
        <v>45.129382030792023</v>
      </c>
      <c r="AF292" t="s">
        <v>58</v>
      </c>
      <c r="AG292" t="b">
        <v>1</v>
      </c>
      <c r="AH292">
        <v>2.7940032253402149</v>
      </c>
      <c r="AI292">
        <v>607.19399999999996</v>
      </c>
      <c r="AJ292">
        <v>91.310100000000006</v>
      </c>
      <c r="AK292">
        <v>38.835799999999999</v>
      </c>
      <c r="AL292">
        <v>15.785337092686451</v>
      </c>
      <c r="AM292">
        <v>44.483494851648921</v>
      </c>
      <c r="AN292">
        <v>44.483494851648921</v>
      </c>
      <c r="AO292" t="s">
        <v>58</v>
      </c>
      <c r="AP292" t="b">
        <v>1</v>
      </c>
      <c r="AQ292">
        <v>2.8180262854354048</v>
      </c>
      <c r="AR292">
        <v>607.75800000000004</v>
      </c>
      <c r="AS292">
        <v>45.129382030792023</v>
      </c>
      <c r="AT292">
        <v>2.8180262854354048</v>
      </c>
      <c r="AU292" s="5">
        <v>33.711648377001644</v>
      </c>
      <c r="AV292" s="5">
        <v>48.153050626855084</v>
      </c>
      <c r="AW292" s="5">
        <v>2.1050656352202473</v>
      </c>
      <c r="AX292" s="5">
        <v>3.0068340465595766</v>
      </c>
      <c r="AY292" t="s">
        <v>59</v>
      </c>
      <c r="AZ292" t="s">
        <v>60</v>
      </c>
      <c r="BA292" s="23">
        <f t="shared" si="4"/>
        <v>0</v>
      </c>
      <c r="BB292" s="23">
        <f>IF(AND(ISNUMBER(H292),Metadata!$H$5&gt;Metadata!$G$5),MAX(Metadata!$G$5-H292,0,H292-Metadata!$H$5)/(Metadata!$H$5-Metadata!$G$5),"Missing input")</f>
        <v>0</v>
      </c>
      <c r="BC292" s="23">
        <f>IF(AND(ISNUMBER(L292),Metadata!$H$8&gt;Metadata!$G$8),MAX(Metadata!$G$8-L292,0,L292-Metadata!$H$8)/(Metadata!$H$8-Metadata!$G$8),"Missing input")</f>
        <v>0</v>
      </c>
    </row>
    <row r="293" spans="1:55" x14ac:dyDescent="0.2">
      <c r="A293" t="s">
        <v>371</v>
      </c>
      <c r="B293" t="s">
        <v>360</v>
      </c>
      <c r="C293" t="s">
        <v>84</v>
      </c>
      <c r="D293" t="s">
        <v>55</v>
      </c>
      <c r="E293" t="s">
        <v>56</v>
      </c>
      <c r="F293">
        <v>12</v>
      </c>
      <c r="G293">
        <v>56.241153781572699</v>
      </c>
      <c r="H293">
        <v>14.78764467513273</v>
      </c>
      <c r="I293">
        <v>1.57</v>
      </c>
      <c r="J293">
        <v>1.5</v>
      </c>
      <c r="K293">
        <v>0.95</v>
      </c>
      <c r="L293">
        <v>0.25</v>
      </c>
      <c r="M293">
        <v>10</v>
      </c>
      <c r="N293">
        <v>110</v>
      </c>
      <c r="Q293">
        <v>0.95199777381508888</v>
      </c>
      <c r="R293">
        <v>2448743.9197241841</v>
      </c>
      <c r="S293">
        <v>-4.356300996905405E-3</v>
      </c>
      <c r="T293">
        <v>1060.8343060705299</v>
      </c>
      <c r="U293">
        <v>811.40111588676484</v>
      </c>
      <c r="V293">
        <v>234.69785532533859</v>
      </c>
      <c r="W293">
        <v>3.4572157242851631</v>
      </c>
      <c r="X293" t="s">
        <v>57</v>
      </c>
      <c r="Z293">
        <v>793.649</v>
      </c>
      <c r="AA293">
        <v>95.163399999999996</v>
      </c>
      <c r="AB293">
        <v>61.555600000000013</v>
      </c>
      <c r="AC293">
        <v>15.538165692041529</v>
      </c>
      <c r="AE293">
        <v>95.163399999999996</v>
      </c>
      <c r="AF293" t="s">
        <v>62</v>
      </c>
      <c r="AG293" t="b">
        <v>0</v>
      </c>
      <c r="AH293">
        <v>6.1244938357647722</v>
      </c>
      <c r="AI293">
        <v>789.84500000000003</v>
      </c>
      <c r="AJ293">
        <v>91.310100000000006</v>
      </c>
      <c r="AK293">
        <v>61.372599999999998</v>
      </c>
      <c r="AL293">
        <v>15.180016912361371</v>
      </c>
      <c r="AN293">
        <v>91.310100000000006</v>
      </c>
      <c r="AO293" t="s">
        <v>62</v>
      </c>
      <c r="AP293" t="b">
        <v>0</v>
      </c>
      <c r="AQ293">
        <v>6.0151514011584846</v>
      </c>
      <c r="AR293">
        <v>793.649</v>
      </c>
      <c r="AS293">
        <v>95.163399999999996</v>
      </c>
      <c r="AT293">
        <v>6.1244938357647722</v>
      </c>
      <c r="AU293" s="5">
        <v>71.087059799999992</v>
      </c>
      <c r="AV293" s="5">
        <v>101.53934779999999</v>
      </c>
      <c r="AW293" s="5">
        <v>4.5749968953162847</v>
      </c>
      <c r="AX293" s="5">
        <v>6.5348349227610116</v>
      </c>
      <c r="AY293" t="s">
        <v>59</v>
      </c>
      <c r="AZ293" t="s">
        <v>60</v>
      </c>
      <c r="BA293" s="23">
        <f t="shared" si="4"/>
        <v>0</v>
      </c>
      <c r="BB293" s="23">
        <f>IF(AND(ISNUMBER(H293),Metadata!$H$5&gt;Metadata!$G$5),MAX(Metadata!$G$5-H293,0,H293-Metadata!$H$5)/(Metadata!$H$5-Metadata!$G$5),"Missing input")</f>
        <v>0</v>
      </c>
      <c r="BC293" s="23">
        <f>IF(AND(ISNUMBER(L293),Metadata!$H$8&gt;Metadata!$G$8),MAX(Metadata!$G$8-L293,0,L293-Metadata!$H$8)/(Metadata!$H$8-Metadata!$G$8),"Missing input")</f>
        <v>0</v>
      </c>
    </row>
    <row r="294" spans="1:55" x14ac:dyDescent="0.2">
      <c r="A294" t="s">
        <v>372</v>
      </c>
      <c r="B294" t="s">
        <v>360</v>
      </c>
      <c r="C294" t="s">
        <v>84</v>
      </c>
      <c r="D294" t="s">
        <v>55</v>
      </c>
      <c r="E294" t="s">
        <v>56</v>
      </c>
      <c r="F294">
        <v>13</v>
      </c>
      <c r="G294">
        <v>49.119901382435643</v>
      </c>
      <c r="H294">
        <v>22.54933477691009</v>
      </c>
      <c r="I294">
        <v>1.57</v>
      </c>
      <c r="J294">
        <v>1.5</v>
      </c>
      <c r="K294">
        <v>0.95</v>
      </c>
      <c r="L294">
        <v>0.25</v>
      </c>
      <c r="M294">
        <v>10</v>
      </c>
      <c r="N294">
        <v>110</v>
      </c>
      <c r="Q294">
        <v>0.95199777381508888</v>
      </c>
      <c r="R294">
        <v>3276584.6264440492</v>
      </c>
      <c r="S294">
        <v>-5.4862461974271312E-3</v>
      </c>
      <c r="T294">
        <v>1412.968799359719</v>
      </c>
      <c r="U294">
        <v>786.94653369120795</v>
      </c>
      <c r="V294">
        <v>312.60371667250428</v>
      </c>
      <c r="W294">
        <v>2.5173934016774462</v>
      </c>
      <c r="X294" t="s">
        <v>57</v>
      </c>
      <c r="Z294">
        <v>873.93600000000004</v>
      </c>
      <c r="AA294">
        <v>95.163399999999996</v>
      </c>
      <c r="AB294">
        <v>49.930799999999998</v>
      </c>
      <c r="AC294">
        <v>16.20253373810305</v>
      </c>
      <c r="AD294">
        <v>64.02836055478501</v>
      </c>
      <c r="AE294">
        <v>64.02836055478501</v>
      </c>
      <c r="AF294" t="s">
        <v>58</v>
      </c>
      <c r="AG294" t="b">
        <v>1</v>
      </c>
      <c r="AH294">
        <v>3.9517498676278811</v>
      </c>
      <c r="AI294">
        <v>869</v>
      </c>
      <c r="AJ294">
        <v>91.310100000000006</v>
      </c>
      <c r="AK294">
        <v>50.04</v>
      </c>
      <c r="AL294">
        <v>15.8727851503268</v>
      </c>
      <c r="AM294">
        <v>63.683470199692778</v>
      </c>
      <c r="AN294">
        <v>63.683470199692778</v>
      </c>
      <c r="AO294" t="s">
        <v>58</v>
      </c>
      <c r="AP294" t="b">
        <v>1</v>
      </c>
      <c r="AQ294">
        <v>4.0121169408244421</v>
      </c>
      <c r="AR294">
        <v>873.93600000000004</v>
      </c>
      <c r="AS294">
        <v>64.02836055478501</v>
      </c>
      <c r="AT294">
        <v>4.0121169408244421</v>
      </c>
      <c r="AU294" s="5">
        <v>47.829185334424402</v>
      </c>
      <c r="AV294" s="5">
        <v>68.318260711955602</v>
      </c>
      <c r="AW294" s="5">
        <v>2.9970513547958584</v>
      </c>
      <c r="AX294" s="5">
        <v>4.2809287758596799</v>
      </c>
      <c r="AY294" t="s">
        <v>59</v>
      </c>
      <c r="AZ294" t="s">
        <v>60</v>
      </c>
      <c r="BA294" s="23">
        <f t="shared" si="4"/>
        <v>0</v>
      </c>
      <c r="BB294" s="23">
        <f>IF(AND(ISNUMBER(H294),Metadata!$H$5&gt;Metadata!$G$5),MAX(Metadata!$G$5-H294,0,H294-Metadata!$H$5)/(Metadata!$H$5-Metadata!$G$5),"Missing input")</f>
        <v>0</v>
      </c>
      <c r="BC294" s="23">
        <f>IF(AND(ISNUMBER(L294),Metadata!$H$8&gt;Metadata!$G$8),MAX(Metadata!$G$8-L294,0,L294-Metadata!$H$8)/(Metadata!$H$8-Metadata!$G$8),"Missing input")</f>
        <v>0</v>
      </c>
    </row>
    <row r="295" spans="1:55" x14ac:dyDescent="0.2">
      <c r="A295" t="s">
        <v>373</v>
      </c>
      <c r="B295" t="s">
        <v>360</v>
      </c>
      <c r="C295" t="s">
        <v>84</v>
      </c>
      <c r="D295" t="s">
        <v>55</v>
      </c>
      <c r="E295" t="s">
        <v>56</v>
      </c>
      <c r="F295">
        <v>14</v>
      </c>
      <c r="G295">
        <v>37.958866376576751</v>
      </c>
      <c r="H295">
        <v>9.8264864335603903</v>
      </c>
      <c r="I295">
        <v>1.57</v>
      </c>
      <c r="J295">
        <v>1.5</v>
      </c>
      <c r="K295">
        <v>0.95</v>
      </c>
      <c r="L295">
        <v>0.25</v>
      </c>
      <c r="M295">
        <v>10</v>
      </c>
      <c r="N295">
        <v>110</v>
      </c>
      <c r="Q295">
        <v>0.95199777381508888</v>
      </c>
      <c r="R295">
        <v>1072728.181448289</v>
      </c>
      <c r="S295">
        <v>-3.5427962610906439E-3</v>
      </c>
      <c r="T295">
        <v>610.81355109044614</v>
      </c>
      <c r="U295">
        <v>744.72430032575369</v>
      </c>
      <c r="V295">
        <v>135.13574139169171</v>
      </c>
      <c r="W295">
        <v>5.5109350987106103</v>
      </c>
      <c r="X295" t="s">
        <v>57</v>
      </c>
      <c r="Z295">
        <v>538.73400000000004</v>
      </c>
      <c r="AA295">
        <v>95.163399999999996</v>
      </c>
      <c r="AB295">
        <v>65.006200000000007</v>
      </c>
      <c r="AC295">
        <v>16.407053878177042</v>
      </c>
      <c r="AE295">
        <v>95.163399999999996</v>
      </c>
      <c r="AF295" t="s">
        <v>62</v>
      </c>
      <c r="AG295" t="b">
        <v>0</v>
      </c>
      <c r="AH295">
        <v>5.8001516120195387</v>
      </c>
      <c r="AI295">
        <v>534.79300000000001</v>
      </c>
      <c r="AJ295">
        <v>91.310100000000006</v>
      </c>
      <c r="AK295">
        <v>64.811499999999995</v>
      </c>
      <c r="AL295">
        <v>15.92219490125979</v>
      </c>
      <c r="AN295">
        <v>91.310100000000006</v>
      </c>
      <c r="AO295" t="s">
        <v>62</v>
      </c>
      <c r="AP295" t="b">
        <v>0</v>
      </c>
      <c r="AQ295">
        <v>5.73476838879641</v>
      </c>
      <c r="AR295">
        <v>538.73400000000004</v>
      </c>
      <c r="AS295">
        <v>95.163399999999996</v>
      </c>
      <c r="AT295">
        <v>5.8001516120195387</v>
      </c>
      <c r="AU295" s="5">
        <v>71.087059799999992</v>
      </c>
      <c r="AV295" s="5">
        <v>101.53934779999999</v>
      </c>
      <c r="AW295" s="5">
        <v>4.3327132541785955</v>
      </c>
      <c r="AX295" s="5">
        <v>6.1887617700248478</v>
      </c>
      <c r="AY295" t="s">
        <v>59</v>
      </c>
      <c r="AZ295" t="s">
        <v>60</v>
      </c>
      <c r="BA295" s="23">
        <f t="shared" si="4"/>
        <v>0</v>
      </c>
      <c r="BB295" s="23">
        <f>IF(AND(ISNUMBER(H295),Metadata!$H$5&gt;Metadata!$G$5),MAX(Metadata!$G$5-H295,0,H295-Metadata!$H$5)/(Metadata!$H$5-Metadata!$G$5),"Missing input")</f>
        <v>0</v>
      </c>
      <c r="BC295" s="23">
        <f>IF(AND(ISNUMBER(L295),Metadata!$H$8&gt;Metadata!$G$8),MAX(Metadata!$G$8-L295,0,L295-Metadata!$H$8)/(Metadata!$H$8-Metadata!$G$8),"Missing input")</f>
        <v>0</v>
      </c>
    </row>
    <row r="296" spans="1:55" x14ac:dyDescent="0.2">
      <c r="A296" t="s">
        <v>374</v>
      </c>
      <c r="B296" t="s">
        <v>360</v>
      </c>
      <c r="C296" t="s">
        <v>84</v>
      </c>
      <c r="D296" t="s">
        <v>55</v>
      </c>
      <c r="E296" t="s">
        <v>56</v>
      </c>
      <c r="F296">
        <v>15</v>
      </c>
      <c r="G296">
        <v>27.308053040943211</v>
      </c>
      <c r="H296">
        <v>5.2772178758296739</v>
      </c>
      <c r="I296">
        <v>1.57</v>
      </c>
      <c r="J296">
        <v>1.5</v>
      </c>
      <c r="K296">
        <v>0.95</v>
      </c>
      <c r="L296">
        <v>0.25</v>
      </c>
      <c r="M296">
        <v>10</v>
      </c>
      <c r="N296">
        <v>110</v>
      </c>
      <c r="Q296">
        <v>0.95199777381508888</v>
      </c>
      <c r="R296">
        <v>386052.96198531118</v>
      </c>
      <c r="S296">
        <v>-2.829466088761431E-3</v>
      </c>
      <c r="T296">
        <v>428.52672237905682</v>
      </c>
      <c r="U296">
        <v>698.12364149884274</v>
      </c>
      <c r="V296">
        <v>94.806796986516986</v>
      </c>
      <c r="W296">
        <v>7.3636454736270318</v>
      </c>
      <c r="X296" t="s">
        <v>57</v>
      </c>
      <c r="Z296">
        <v>400.48</v>
      </c>
      <c r="AA296">
        <v>95.163399999999996</v>
      </c>
      <c r="AB296">
        <v>51.296399999999998</v>
      </c>
      <c r="AC296">
        <v>17.359132693279431</v>
      </c>
      <c r="AE296">
        <v>95.163399999999996</v>
      </c>
      <c r="AF296" t="s">
        <v>62</v>
      </c>
      <c r="AG296" t="b">
        <v>0</v>
      </c>
      <c r="AH296">
        <v>5.4820365557112414</v>
      </c>
      <c r="AI296">
        <v>395.822</v>
      </c>
      <c r="AJ296">
        <v>91.310100000000006</v>
      </c>
      <c r="AK296">
        <v>32.289299999999997</v>
      </c>
      <c r="AL296">
        <v>16.697582494145198</v>
      </c>
      <c r="AN296">
        <v>91.310100000000006</v>
      </c>
      <c r="AO296" t="s">
        <v>62</v>
      </c>
      <c r="AP296" t="b">
        <v>0</v>
      </c>
      <c r="AQ296">
        <v>5.4684622778187659</v>
      </c>
      <c r="AR296">
        <v>400.48</v>
      </c>
      <c r="AS296">
        <v>95.163399999999996</v>
      </c>
      <c r="AT296">
        <v>5.4820365557112414</v>
      </c>
      <c r="AU296" s="5">
        <v>71.087059799999992</v>
      </c>
      <c r="AV296" s="5">
        <v>101.53934779999999</v>
      </c>
      <c r="AW296" s="5">
        <v>4.0950813071162973</v>
      </c>
      <c r="AX296" s="5">
        <v>5.8493330049438939</v>
      </c>
      <c r="AY296" t="s">
        <v>59</v>
      </c>
      <c r="AZ296" t="s">
        <v>60</v>
      </c>
      <c r="BA296" s="23">
        <f t="shared" si="4"/>
        <v>0</v>
      </c>
      <c r="BB296" s="23">
        <f>IF(AND(ISNUMBER(H296),Metadata!$H$5&gt;Metadata!$G$5),MAX(Metadata!$G$5-H296,0,H296-Metadata!$H$5)/(Metadata!$H$5-Metadata!$G$5),"Missing input")</f>
        <v>0</v>
      </c>
      <c r="BC296" s="23">
        <f>IF(AND(ISNUMBER(L296),Metadata!$H$8&gt;Metadata!$G$8),MAX(Metadata!$G$8-L296,0,L296-Metadata!$H$8)/(Metadata!$H$8-Metadata!$G$8),"Missing input")</f>
        <v>0</v>
      </c>
    </row>
    <row r="297" spans="1:55" x14ac:dyDescent="0.2">
      <c r="A297" t="s">
        <v>375</v>
      </c>
      <c r="B297" t="s">
        <v>360</v>
      </c>
      <c r="C297" t="s">
        <v>84</v>
      </c>
      <c r="D297" t="s">
        <v>55</v>
      </c>
      <c r="E297" t="s">
        <v>56</v>
      </c>
      <c r="F297">
        <v>16</v>
      </c>
      <c r="G297">
        <v>31.1252119640606</v>
      </c>
      <c r="H297">
        <v>39.5069074866867</v>
      </c>
      <c r="I297">
        <v>1.57</v>
      </c>
      <c r="J297">
        <v>1.5</v>
      </c>
      <c r="K297">
        <v>0.95</v>
      </c>
      <c r="L297">
        <v>0.25</v>
      </c>
      <c r="M297">
        <v>10</v>
      </c>
      <c r="N297">
        <v>110</v>
      </c>
      <c r="Q297">
        <v>0.95199777381508888</v>
      </c>
      <c r="R297">
        <v>3642703.933702969</v>
      </c>
      <c r="S297">
        <v>-6.5155661914715101E-3</v>
      </c>
      <c r="T297">
        <v>1657.5346780090949</v>
      </c>
      <c r="U297">
        <v>715.72465594585606</v>
      </c>
      <c r="V297">
        <v>366.71121194891492</v>
      </c>
      <c r="W297">
        <v>1.9517392231944111</v>
      </c>
      <c r="X297" t="s">
        <v>57</v>
      </c>
      <c r="Z297">
        <v>724.96900000000005</v>
      </c>
      <c r="AA297">
        <v>95.163399999999996</v>
      </c>
      <c r="AB297">
        <v>34.283200000000001</v>
      </c>
      <c r="AC297">
        <v>15.01363857338351</v>
      </c>
      <c r="AD297">
        <v>37.951371443673978</v>
      </c>
      <c r="AE297">
        <v>37.951371443673978</v>
      </c>
      <c r="AF297" t="s">
        <v>58</v>
      </c>
      <c r="AG297" t="b">
        <v>1</v>
      </c>
      <c r="AH297">
        <v>2.5277930634986081</v>
      </c>
      <c r="AI297">
        <v>720.97199999999998</v>
      </c>
      <c r="AJ297">
        <v>91.310100000000006</v>
      </c>
      <c r="AK297">
        <v>32.289299999999997</v>
      </c>
      <c r="AL297">
        <v>14.215407595643679</v>
      </c>
      <c r="AM297">
        <v>37.782809213345473</v>
      </c>
      <c r="AN297">
        <v>37.782809213345473</v>
      </c>
      <c r="AO297" t="s">
        <v>58</v>
      </c>
      <c r="AP297" t="b">
        <v>1</v>
      </c>
      <c r="AQ297">
        <v>2.6578773038434749</v>
      </c>
      <c r="AR297">
        <v>724.96900000000005</v>
      </c>
      <c r="AS297">
        <v>37.951371443673978</v>
      </c>
      <c r="AT297">
        <v>2.6578773038434749</v>
      </c>
      <c r="AU297" s="5">
        <v>28.34967446842446</v>
      </c>
      <c r="AV297" s="5">
        <v>40.494113330400133</v>
      </c>
      <c r="AW297" s="5">
        <v>1.9854343459710757</v>
      </c>
      <c r="AX297" s="5">
        <v>2.8359550832009877</v>
      </c>
      <c r="AY297" t="s">
        <v>59</v>
      </c>
      <c r="AZ297" t="s">
        <v>60</v>
      </c>
      <c r="BA297" s="23">
        <f t="shared" si="4"/>
        <v>0</v>
      </c>
      <c r="BB297" s="23">
        <f>IF(AND(ISNUMBER(H297),Metadata!$H$5&gt;Metadata!$G$5),MAX(Metadata!$G$5-H297,0,H297-Metadata!$H$5)/(Metadata!$H$5-Metadata!$G$5),"Missing input")</f>
        <v>0</v>
      </c>
      <c r="BC297" s="23">
        <f>IF(AND(ISNUMBER(L297),Metadata!$H$8&gt;Metadata!$G$8),MAX(Metadata!$G$8-L297,0,L297-Metadata!$H$8)/(Metadata!$H$8-Metadata!$G$8),"Missing input")</f>
        <v>0</v>
      </c>
    </row>
    <row r="298" spans="1:55" x14ac:dyDescent="0.2">
      <c r="A298" t="s">
        <v>376</v>
      </c>
      <c r="B298" t="s">
        <v>360</v>
      </c>
      <c r="C298" t="s">
        <v>84</v>
      </c>
      <c r="D298" t="s">
        <v>55</v>
      </c>
      <c r="E298" t="s">
        <v>56</v>
      </c>
      <c r="F298">
        <v>17</v>
      </c>
      <c r="G298">
        <v>46.390186033042063</v>
      </c>
      <c r="H298">
        <v>16.21387510983789</v>
      </c>
      <c r="I298">
        <v>1.57</v>
      </c>
      <c r="J298">
        <v>1.5</v>
      </c>
      <c r="K298">
        <v>0.95</v>
      </c>
      <c r="L298">
        <v>0.25</v>
      </c>
      <c r="M298">
        <v>10</v>
      </c>
      <c r="N298">
        <v>110</v>
      </c>
      <c r="Q298">
        <v>0.95199777381508888</v>
      </c>
      <c r="R298">
        <v>2210215.3729856689</v>
      </c>
      <c r="S298">
        <v>-4.5841979277001961E-3</v>
      </c>
      <c r="T298">
        <v>992.19235058261199</v>
      </c>
      <c r="U298">
        <v>777.10568399344538</v>
      </c>
      <c r="V298">
        <v>219.5115819873036</v>
      </c>
      <c r="W298">
        <v>3.5401580042295571</v>
      </c>
      <c r="X298" t="s">
        <v>57</v>
      </c>
      <c r="Z298">
        <v>730.43600000000004</v>
      </c>
      <c r="AA298">
        <v>95.163399999999996</v>
      </c>
      <c r="AB298">
        <v>51.296399999999998</v>
      </c>
      <c r="AC298">
        <v>15.928527323838081</v>
      </c>
      <c r="AD298">
        <v>89.880413620464623</v>
      </c>
      <c r="AE298">
        <v>89.880413620464623</v>
      </c>
      <c r="AF298" t="s">
        <v>58</v>
      </c>
      <c r="AG298" t="b">
        <v>1</v>
      </c>
      <c r="AH298">
        <v>5.6427321743644621</v>
      </c>
      <c r="AI298">
        <v>725.048</v>
      </c>
      <c r="AJ298">
        <v>91.310100000000006</v>
      </c>
      <c r="AK298">
        <v>51.757599999999996</v>
      </c>
      <c r="AL298">
        <v>15.462535789473691</v>
      </c>
      <c r="AM298">
        <v>89.748260344413296</v>
      </c>
      <c r="AN298">
        <v>89.748260344413296</v>
      </c>
      <c r="AO298" t="s">
        <v>58</v>
      </c>
      <c r="AP298" t="b">
        <v>1</v>
      </c>
      <c r="AQ298">
        <v>5.8042394576386709</v>
      </c>
      <c r="AR298">
        <v>730.43600000000004</v>
      </c>
      <c r="AS298">
        <v>89.880413620464623</v>
      </c>
      <c r="AT298">
        <v>5.8042394576386709</v>
      </c>
      <c r="AU298" s="5">
        <v>67.14066897448707</v>
      </c>
      <c r="AV298" s="5">
        <v>95.902401333035755</v>
      </c>
      <c r="AW298" s="5">
        <v>4.3357668748560867</v>
      </c>
      <c r="AX298" s="5">
        <v>6.1931235013004615</v>
      </c>
      <c r="AY298" t="s">
        <v>59</v>
      </c>
      <c r="AZ298" t="s">
        <v>60</v>
      </c>
      <c r="BA298" s="23">
        <f t="shared" si="4"/>
        <v>0</v>
      </c>
      <c r="BB298" s="23">
        <f>IF(AND(ISNUMBER(H298),Metadata!$H$5&gt;Metadata!$G$5),MAX(Metadata!$G$5-H298,0,H298-Metadata!$H$5)/(Metadata!$H$5-Metadata!$G$5),"Missing input")</f>
        <v>0</v>
      </c>
      <c r="BC298" s="23">
        <f>IF(AND(ISNUMBER(L298),Metadata!$H$8&gt;Metadata!$G$8),MAX(Metadata!$G$8-L298,0,L298-Metadata!$H$8)/(Metadata!$H$8-Metadata!$G$8),"Missing input")</f>
        <v>0</v>
      </c>
    </row>
    <row r="299" spans="1:55" x14ac:dyDescent="0.2">
      <c r="A299" t="s">
        <v>377</v>
      </c>
      <c r="B299" t="s">
        <v>360</v>
      </c>
      <c r="C299" t="s">
        <v>84</v>
      </c>
      <c r="D299" t="s">
        <v>55</v>
      </c>
      <c r="E299" t="s">
        <v>56</v>
      </c>
      <c r="F299">
        <v>18</v>
      </c>
      <c r="G299">
        <v>54.165408264435399</v>
      </c>
      <c r="H299">
        <v>18.25275816413232</v>
      </c>
      <c r="I299">
        <v>1.57</v>
      </c>
      <c r="J299">
        <v>1.5</v>
      </c>
      <c r="K299">
        <v>0.95</v>
      </c>
      <c r="L299">
        <v>0.25</v>
      </c>
      <c r="M299">
        <v>10</v>
      </c>
      <c r="N299">
        <v>110</v>
      </c>
      <c r="Q299">
        <v>0.95199777381508888</v>
      </c>
      <c r="R299">
        <v>2919725.6187367002</v>
      </c>
      <c r="S299">
        <v>-4.8975398911433616E-3</v>
      </c>
      <c r="T299">
        <v>1250.244632367107</v>
      </c>
      <c r="U299">
        <v>804.44140245145684</v>
      </c>
      <c r="V299">
        <v>276.6027947714839</v>
      </c>
      <c r="W299">
        <v>2.908290941586646</v>
      </c>
      <c r="X299" t="s">
        <v>57</v>
      </c>
      <c r="Z299">
        <v>852.66700000000003</v>
      </c>
      <c r="AA299">
        <v>95.163399999999996</v>
      </c>
      <c r="AB299">
        <v>51.296399999999998</v>
      </c>
      <c r="AC299">
        <v>15.80094712389381</v>
      </c>
      <c r="AD299">
        <v>77.962244904378565</v>
      </c>
      <c r="AE299">
        <v>77.962244904378565</v>
      </c>
      <c r="AF299" t="s">
        <v>58</v>
      </c>
      <c r="AG299" t="b">
        <v>1</v>
      </c>
      <c r="AH299">
        <v>4.9340235299240991</v>
      </c>
      <c r="AI299">
        <v>846.83399999999995</v>
      </c>
      <c r="AJ299">
        <v>91.310100000000006</v>
      </c>
      <c r="AK299">
        <v>51.757599999999996</v>
      </c>
      <c r="AL299">
        <v>15.45502555269923</v>
      </c>
      <c r="AM299">
        <v>78.498011382591983</v>
      </c>
      <c r="AN299">
        <v>78.498011382591983</v>
      </c>
      <c r="AO299" t="s">
        <v>58</v>
      </c>
      <c r="AP299" t="b">
        <v>1</v>
      </c>
      <c r="AQ299">
        <v>5.0791253055471177</v>
      </c>
      <c r="AR299">
        <v>852.66700000000003</v>
      </c>
      <c r="AS299">
        <v>78.498011382591983</v>
      </c>
      <c r="AT299">
        <v>5.0791253055471177</v>
      </c>
      <c r="AU299" s="5">
        <v>58.63801450279621</v>
      </c>
      <c r="AV299" s="5">
        <v>83.757378145225644</v>
      </c>
      <c r="AW299" s="5">
        <v>3.794106603243697</v>
      </c>
      <c r="AX299" s="5">
        <v>5.4194267010187742</v>
      </c>
      <c r="AY299" t="s">
        <v>59</v>
      </c>
      <c r="AZ299" t="s">
        <v>60</v>
      </c>
      <c r="BA299" s="23">
        <f t="shared" si="4"/>
        <v>0</v>
      </c>
      <c r="BB299" s="23">
        <f>IF(AND(ISNUMBER(H299),Metadata!$H$5&gt;Metadata!$G$5),MAX(Metadata!$G$5-H299,0,H299-Metadata!$H$5)/(Metadata!$H$5-Metadata!$G$5),"Missing input")</f>
        <v>0</v>
      </c>
      <c r="BC299" s="23">
        <f>IF(AND(ISNUMBER(L299),Metadata!$H$8&gt;Metadata!$G$8),MAX(Metadata!$G$8-L299,0,L299-Metadata!$H$8)/(Metadata!$H$8-Metadata!$G$8),"Missing input")</f>
        <v>0</v>
      </c>
    </row>
    <row r="300" spans="1:55" x14ac:dyDescent="0.2">
      <c r="A300" t="s">
        <v>378</v>
      </c>
      <c r="B300" t="s">
        <v>360</v>
      </c>
      <c r="C300" t="s">
        <v>84</v>
      </c>
      <c r="D300" t="s">
        <v>55</v>
      </c>
      <c r="E300" t="s">
        <v>56</v>
      </c>
      <c r="F300">
        <v>19</v>
      </c>
      <c r="G300">
        <v>21.707483118551171</v>
      </c>
      <c r="H300">
        <v>43.497365085878002</v>
      </c>
      <c r="I300">
        <v>1.57</v>
      </c>
      <c r="J300">
        <v>1.5</v>
      </c>
      <c r="K300">
        <v>0.95</v>
      </c>
      <c r="L300">
        <v>0.25</v>
      </c>
      <c r="M300">
        <v>10</v>
      </c>
      <c r="N300">
        <v>110</v>
      </c>
      <c r="Q300">
        <v>0.95199777381508888</v>
      </c>
      <c r="R300">
        <v>2786376.2799094608</v>
      </c>
      <c r="S300">
        <v>-6.4903422881715999E-3</v>
      </c>
      <c r="T300">
        <v>1327.844178866673</v>
      </c>
      <c r="U300">
        <v>669.89609780516332</v>
      </c>
      <c r="V300">
        <v>293.77083603244972</v>
      </c>
      <c r="W300">
        <v>2.2803356073479231</v>
      </c>
      <c r="X300" t="s">
        <v>57</v>
      </c>
      <c r="Z300">
        <v>577.01400000000001</v>
      </c>
      <c r="AA300">
        <v>95.163399999999996</v>
      </c>
      <c r="AB300">
        <v>32.520200000000003</v>
      </c>
      <c r="AC300">
        <v>14.92352182008368</v>
      </c>
      <c r="AD300">
        <v>36.881730668664972</v>
      </c>
      <c r="AE300">
        <v>36.881730668664972</v>
      </c>
      <c r="AF300" t="s">
        <v>58</v>
      </c>
      <c r="AG300" t="b">
        <v>1</v>
      </c>
      <c r="AH300">
        <v>2.4713825002775489</v>
      </c>
      <c r="AI300">
        <v>579.93399999999997</v>
      </c>
      <c r="AJ300">
        <v>91.310100000000006</v>
      </c>
      <c r="AK300">
        <v>32.289299999999997</v>
      </c>
      <c r="AL300">
        <v>14.405219574393239</v>
      </c>
      <c r="AM300">
        <v>38.848135865958497</v>
      </c>
      <c r="AN300">
        <v>38.848135865958497</v>
      </c>
      <c r="AO300" t="s">
        <v>58</v>
      </c>
      <c r="AP300" t="b">
        <v>1</v>
      </c>
      <c r="AQ300">
        <v>2.6968096991048331</v>
      </c>
      <c r="AR300">
        <v>579.93399999999997</v>
      </c>
      <c r="AS300">
        <v>38.848135865958497</v>
      </c>
      <c r="AT300">
        <v>2.6968096991048331</v>
      </c>
      <c r="AU300" s="5">
        <v>29.019557491870998</v>
      </c>
      <c r="AV300" s="5">
        <v>41.450960968977711</v>
      </c>
      <c r="AW300" s="5">
        <v>2.0145168452313102</v>
      </c>
      <c r="AX300" s="5">
        <v>2.8774959489448566</v>
      </c>
      <c r="AY300" t="s">
        <v>64</v>
      </c>
      <c r="AZ300" t="s">
        <v>7</v>
      </c>
      <c r="BA300" s="23">
        <f t="shared" si="4"/>
        <v>9.4596678167087334E-2</v>
      </c>
      <c r="BB300" s="23">
        <f>IF(AND(ISNUMBER(H300),Metadata!$H$5&gt;Metadata!$G$5),MAX(Metadata!$G$5-H300,0,H300-Metadata!$H$5)/(Metadata!$H$5-Metadata!$G$5),"Missing input")</f>
        <v>9.4596678167087334E-2</v>
      </c>
      <c r="BC300" s="23">
        <f>IF(AND(ISNUMBER(L300),Metadata!$H$8&gt;Metadata!$G$8),MAX(Metadata!$G$8-L300,0,L300-Metadata!$H$8)/(Metadata!$H$8-Metadata!$G$8),"Missing input")</f>
        <v>0</v>
      </c>
    </row>
    <row r="301" spans="1:55" x14ac:dyDescent="0.2">
      <c r="A301" t="s">
        <v>379</v>
      </c>
      <c r="B301" t="s">
        <v>360</v>
      </c>
      <c r="C301" t="s">
        <v>84</v>
      </c>
      <c r="D301" t="s">
        <v>55</v>
      </c>
      <c r="E301" t="s">
        <v>56</v>
      </c>
      <c r="F301">
        <v>20</v>
      </c>
      <c r="G301">
        <v>53.035991243371583</v>
      </c>
      <c r="H301">
        <v>30.34654288470276</v>
      </c>
      <c r="I301">
        <v>1.57</v>
      </c>
      <c r="J301">
        <v>1.5</v>
      </c>
      <c r="K301">
        <v>0.95</v>
      </c>
      <c r="L301">
        <v>0.25</v>
      </c>
      <c r="M301">
        <v>10</v>
      </c>
      <c r="N301">
        <v>110</v>
      </c>
      <c r="Q301">
        <v>0.95199777381508888</v>
      </c>
      <c r="R301">
        <v>4782098.2730990862</v>
      </c>
      <c r="S301">
        <v>-6.2181119527294501E-3</v>
      </c>
      <c r="T301">
        <v>2064.392118408005</v>
      </c>
      <c r="U301">
        <v>800.59853302729891</v>
      </c>
      <c r="V301">
        <v>456.72392000177121</v>
      </c>
      <c r="W301">
        <v>1.7529157067669989</v>
      </c>
      <c r="X301" t="s">
        <v>57</v>
      </c>
      <c r="Z301">
        <v>1018.37</v>
      </c>
      <c r="AA301">
        <v>95.163399999999996</v>
      </c>
      <c r="AB301">
        <v>41.324300000000001</v>
      </c>
      <c r="AC301">
        <v>15.890790389294409</v>
      </c>
      <c r="AD301">
        <v>46.685399837330493</v>
      </c>
      <c r="AE301">
        <v>46.685399837330493</v>
      </c>
      <c r="AF301" t="s">
        <v>58</v>
      </c>
      <c r="AG301" t="b">
        <v>1</v>
      </c>
      <c r="AH301">
        <v>2.9378903562142731</v>
      </c>
      <c r="AI301">
        <v>1014.36</v>
      </c>
      <c r="AJ301">
        <v>91.310100000000006</v>
      </c>
      <c r="AK301">
        <v>39.358900000000013</v>
      </c>
      <c r="AL301">
        <v>15.365918249944899</v>
      </c>
      <c r="AM301">
        <v>47.448046673171021</v>
      </c>
      <c r="AN301">
        <v>47.448046673171021</v>
      </c>
      <c r="AO301" t="s">
        <v>58</v>
      </c>
      <c r="AP301" t="b">
        <v>1</v>
      </c>
      <c r="AQ301">
        <v>3.0878757716507552</v>
      </c>
      <c r="AR301">
        <v>1018.37</v>
      </c>
      <c r="AS301">
        <v>47.448046673171021</v>
      </c>
      <c r="AT301">
        <v>3.0878757716507552</v>
      </c>
      <c r="AU301" s="5">
        <v>35.443690864858752</v>
      </c>
      <c r="AV301" s="5">
        <v>50.627065800273478</v>
      </c>
      <c r="AW301" s="5">
        <v>2.306643201423114</v>
      </c>
      <c r="AX301" s="5">
        <v>3.2947634483513557</v>
      </c>
      <c r="AY301" t="s">
        <v>59</v>
      </c>
      <c r="AZ301" t="s">
        <v>60</v>
      </c>
      <c r="BA301" s="23">
        <f t="shared" si="4"/>
        <v>0</v>
      </c>
      <c r="BB301" s="23">
        <f>IF(AND(ISNUMBER(H301),Metadata!$H$5&gt;Metadata!$G$5),MAX(Metadata!$G$5-H301,0,H301-Metadata!$H$5)/(Metadata!$H$5-Metadata!$G$5),"Missing input")</f>
        <v>0</v>
      </c>
      <c r="BC301" s="23">
        <f>IF(AND(ISNUMBER(L301),Metadata!$H$8&gt;Metadata!$G$8),MAX(Metadata!$G$8-L301,0,L301-Metadata!$H$8)/(Metadata!$H$8-Metadata!$G$8),"Missing input")</f>
        <v>0</v>
      </c>
    </row>
    <row r="302" spans="1:55" x14ac:dyDescent="0.2">
      <c r="A302" t="s">
        <v>380</v>
      </c>
      <c r="B302" t="s">
        <v>381</v>
      </c>
      <c r="C302" t="s">
        <v>84</v>
      </c>
      <c r="D302" t="s">
        <v>55</v>
      </c>
      <c r="E302" t="s">
        <v>56</v>
      </c>
      <c r="F302">
        <v>1</v>
      </c>
      <c r="G302">
        <v>22.11413992487228</v>
      </c>
      <c r="H302">
        <v>28.832065765515338</v>
      </c>
      <c r="I302">
        <v>1.57</v>
      </c>
      <c r="J302">
        <v>1.5</v>
      </c>
      <c r="K302">
        <v>0.54</v>
      </c>
      <c r="L302">
        <v>0.05</v>
      </c>
      <c r="M302">
        <v>8</v>
      </c>
      <c r="N302">
        <v>125</v>
      </c>
      <c r="Q302">
        <v>0.53616514621265798</v>
      </c>
      <c r="R302">
        <v>1866510.334985178</v>
      </c>
      <c r="S302">
        <v>-5.0891597770175816E-3</v>
      </c>
      <c r="T302">
        <v>931.93139645531812</v>
      </c>
      <c r="U302">
        <v>321.84049569621862</v>
      </c>
      <c r="V302">
        <v>206.1795124901146</v>
      </c>
      <c r="W302">
        <v>1.5609722411757541</v>
      </c>
      <c r="X302" t="s">
        <v>57</v>
      </c>
      <c r="Z302">
        <v>546.61800000000005</v>
      </c>
      <c r="AA302">
        <v>95.163399999999996</v>
      </c>
      <c r="AB302">
        <v>37.809100000000001</v>
      </c>
      <c r="AC302">
        <v>15.92290726702077</v>
      </c>
      <c r="AD302">
        <v>46.538974689158898</v>
      </c>
      <c r="AE302">
        <v>46.538974689158898</v>
      </c>
      <c r="AF302" t="s">
        <v>58</v>
      </c>
      <c r="AG302" t="b">
        <v>1</v>
      </c>
      <c r="AH302">
        <v>2.922768682170847</v>
      </c>
      <c r="AI302">
        <v>545.97900000000004</v>
      </c>
      <c r="AJ302">
        <v>91.310100000000006</v>
      </c>
      <c r="AK302">
        <v>38.835799999999999</v>
      </c>
      <c r="AL302">
        <v>15.64883346664066</v>
      </c>
      <c r="AM302">
        <v>46.101297023740592</v>
      </c>
      <c r="AN302">
        <v>46.101297023740592</v>
      </c>
      <c r="AO302" t="s">
        <v>58</v>
      </c>
      <c r="AP302" t="b">
        <v>1</v>
      </c>
      <c r="AQ302">
        <v>2.945989368601619</v>
      </c>
      <c r="AR302">
        <v>546.61800000000005</v>
      </c>
      <c r="AS302">
        <v>46.538974689158898</v>
      </c>
      <c r="AT302">
        <v>2.945989368601619</v>
      </c>
      <c r="AU302" s="5">
        <v>34.7646140928017</v>
      </c>
      <c r="AV302" s="5">
        <v>49.657085993332544</v>
      </c>
      <c r="AW302" s="5">
        <v>2.2006540583454095</v>
      </c>
      <c r="AX302" s="5">
        <v>3.1433706562979271</v>
      </c>
      <c r="AY302" t="s">
        <v>64</v>
      </c>
      <c r="AZ302" t="s">
        <v>11</v>
      </c>
      <c r="BA302" s="23">
        <f t="shared" si="4"/>
        <v>3.9331795798790752E-2</v>
      </c>
      <c r="BB302" s="23">
        <f>IF(AND(ISNUMBER(H302),Metadata!$H$5&gt;Metadata!$G$5),MAX(Metadata!$G$5-H302,0,H302-Metadata!$H$5)/(Metadata!$H$5-Metadata!$G$5),"Missing input")</f>
        <v>0</v>
      </c>
      <c r="BC302" s="23">
        <f>IF(AND(ISNUMBER(L302),Metadata!$H$8&gt;Metadata!$G$8),MAX(Metadata!$G$8-L302,0,L302-Metadata!$H$8)/(Metadata!$H$8-Metadata!$G$8),"Missing input")</f>
        <v>3.9331795798790752E-2</v>
      </c>
    </row>
    <row r="303" spans="1:55" x14ac:dyDescent="0.2">
      <c r="A303" t="s">
        <v>382</v>
      </c>
      <c r="B303" t="s">
        <v>381</v>
      </c>
      <c r="C303" t="s">
        <v>84</v>
      </c>
      <c r="D303" t="s">
        <v>55</v>
      </c>
      <c r="E303" t="s">
        <v>56</v>
      </c>
      <c r="F303">
        <v>2</v>
      </c>
      <c r="G303">
        <v>39.289372610104301</v>
      </c>
      <c r="H303">
        <v>11.43599740060767</v>
      </c>
      <c r="I303">
        <v>1.57</v>
      </c>
      <c r="J303">
        <v>1.5</v>
      </c>
      <c r="K303">
        <v>0.54</v>
      </c>
      <c r="L303">
        <v>0.05</v>
      </c>
      <c r="M303">
        <v>8</v>
      </c>
      <c r="N303">
        <v>125</v>
      </c>
      <c r="Q303">
        <v>0.53616514621265798</v>
      </c>
      <c r="R303">
        <v>1301660.814121977</v>
      </c>
      <c r="S303">
        <v>-3.3284944448027059E-3</v>
      </c>
      <c r="T303">
        <v>682.24591859950192</v>
      </c>
      <c r="U303">
        <v>399.83772025420927</v>
      </c>
      <c r="V303">
        <v>150.93936252201371</v>
      </c>
      <c r="W303">
        <v>2.648995686568473</v>
      </c>
      <c r="X303" t="s">
        <v>57</v>
      </c>
      <c r="Z303">
        <v>554.69100000000003</v>
      </c>
      <c r="AA303">
        <v>95.163399999999996</v>
      </c>
      <c r="AB303">
        <v>62.418300000000002</v>
      </c>
      <c r="AC303">
        <v>15.3528529175705</v>
      </c>
      <c r="AE303">
        <v>95.163399999999996</v>
      </c>
      <c r="AF303" t="s">
        <v>62</v>
      </c>
      <c r="AG303" t="b">
        <v>0</v>
      </c>
      <c r="AH303">
        <v>6.1984180081013269</v>
      </c>
      <c r="AI303">
        <v>551.22699999999998</v>
      </c>
      <c r="AJ303">
        <v>91.310100000000006</v>
      </c>
      <c r="AK303">
        <v>61.802500000000002</v>
      </c>
      <c r="AL303">
        <v>14.89926602411685</v>
      </c>
      <c r="AN303">
        <v>91.310100000000006</v>
      </c>
      <c r="AO303" t="s">
        <v>62</v>
      </c>
      <c r="AP303" t="b">
        <v>0</v>
      </c>
      <c r="AQ303">
        <v>6.1284965213856823</v>
      </c>
      <c r="AR303">
        <v>554.69100000000003</v>
      </c>
      <c r="AS303">
        <v>95.163399999999996</v>
      </c>
      <c r="AT303">
        <v>6.1984180081013269</v>
      </c>
      <c r="AU303" s="5">
        <v>71.087059799999992</v>
      </c>
      <c r="AV303" s="5">
        <v>101.53934779999999</v>
      </c>
      <c r="AW303" s="5">
        <v>4.6302182520516908</v>
      </c>
      <c r="AX303" s="5">
        <v>6.6137120146441157</v>
      </c>
      <c r="AY303" t="s">
        <v>64</v>
      </c>
      <c r="AZ303" t="s">
        <v>11</v>
      </c>
      <c r="BA303" s="23">
        <f t="shared" si="4"/>
        <v>3.9331795798790752E-2</v>
      </c>
      <c r="BB303" s="23">
        <f>IF(AND(ISNUMBER(H303),Metadata!$H$5&gt;Metadata!$G$5),MAX(Metadata!$G$5-H303,0,H303-Metadata!$H$5)/(Metadata!$H$5-Metadata!$G$5),"Missing input")</f>
        <v>0</v>
      </c>
      <c r="BC303" s="23">
        <f>IF(AND(ISNUMBER(L303),Metadata!$H$8&gt;Metadata!$G$8),MAX(Metadata!$G$8-L303,0,L303-Metadata!$H$8)/(Metadata!$H$8-Metadata!$G$8),"Missing input")</f>
        <v>3.9331795798790752E-2</v>
      </c>
    </row>
    <row r="304" spans="1:55" x14ac:dyDescent="0.2">
      <c r="A304" t="s">
        <v>383</v>
      </c>
      <c r="B304" t="s">
        <v>381</v>
      </c>
      <c r="C304" t="s">
        <v>84</v>
      </c>
      <c r="D304" t="s">
        <v>55</v>
      </c>
      <c r="E304" t="s">
        <v>56</v>
      </c>
      <c r="F304">
        <v>3</v>
      </c>
      <c r="G304">
        <v>50.720967279676117</v>
      </c>
      <c r="H304">
        <v>41.572102032205443</v>
      </c>
      <c r="I304">
        <v>1.57</v>
      </c>
      <c r="J304">
        <v>1.5</v>
      </c>
      <c r="K304">
        <v>0.54</v>
      </c>
      <c r="L304">
        <v>0.05</v>
      </c>
      <c r="M304">
        <v>8</v>
      </c>
      <c r="N304">
        <v>125</v>
      </c>
      <c r="Q304">
        <v>0.53616514621265798</v>
      </c>
      <c r="R304">
        <v>6279453.0057685468</v>
      </c>
      <c r="S304">
        <v>-5.2860187480384974E-3</v>
      </c>
      <c r="T304">
        <v>2795.5189136654449</v>
      </c>
      <c r="U304">
        <v>442.37180548346367</v>
      </c>
      <c r="V304">
        <v>618.47763576669149</v>
      </c>
      <c r="W304">
        <v>0.71525917818367124</v>
      </c>
      <c r="X304" t="s">
        <v>87</v>
      </c>
      <c r="Z304">
        <v>1025.9000000000001</v>
      </c>
      <c r="AA304">
        <v>95.163399999999996</v>
      </c>
      <c r="AB304">
        <v>28.994299999999999</v>
      </c>
      <c r="AC304">
        <v>13.856671278782899</v>
      </c>
      <c r="AD304">
        <v>30.598517692457509</v>
      </c>
      <c r="AE304">
        <v>30.598517692457509</v>
      </c>
      <c r="AF304" t="s">
        <v>58</v>
      </c>
      <c r="AG304" t="b">
        <v>1</v>
      </c>
      <c r="AH304">
        <v>2.2082156007633271</v>
      </c>
      <c r="AI304">
        <v>1029.01</v>
      </c>
      <c r="AJ304">
        <v>91.310100000000006</v>
      </c>
      <c r="AK304">
        <v>29.717099999999999</v>
      </c>
      <c r="AL304">
        <v>13.034184444632</v>
      </c>
      <c r="AM304">
        <v>31.51761529403257</v>
      </c>
      <c r="AN304">
        <v>31.51761529403257</v>
      </c>
      <c r="AO304" t="s">
        <v>58</v>
      </c>
      <c r="AP304" t="b">
        <v>1</v>
      </c>
      <c r="AQ304">
        <v>2.4180734458620292</v>
      </c>
      <c r="AR304">
        <v>1029.01</v>
      </c>
      <c r="AS304">
        <v>31.51761529403257</v>
      </c>
      <c r="AT304">
        <v>2.4180734458620292</v>
      </c>
      <c r="AU304" s="5" t="s">
        <v>88</v>
      </c>
      <c r="AV304" s="5" t="s">
        <v>88</v>
      </c>
      <c r="AW304" s="5" t="s">
        <v>88</v>
      </c>
      <c r="AX304" s="5" t="s">
        <v>88</v>
      </c>
      <c r="AY304" t="s">
        <v>64</v>
      </c>
      <c r="AZ304" t="s">
        <v>194</v>
      </c>
      <c r="BA304" s="23">
        <f t="shared" si="4"/>
        <v>4.6063612035701466E-2</v>
      </c>
      <c r="BB304" s="23">
        <f>IF(AND(ISNUMBER(H304),Metadata!$H$5&gt;Metadata!$G$5),MAX(Metadata!$G$5-H304,0,H304-Metadata!$H$5)/(Metadata!$H$5-Metadata!$G$5),"Missing input")</f>
        <v>4.6063612035701466E-2</v>
      </c>
      <c r="BC304" s="23">
        <f>IF(AND(ISNUMBER(L304),Metadata!$H$8&gt;Metadata!$G$8),MAX(Metadata!$G$8-L304,0,L304-Metadata!$H$8)/(Metadata!$H$8-Metadata!$G$8),"Missing input")</f>
        <v>3.9331795798790752E-2</v>
      </c>
    </row>
    <row r="305" spans="1:55" x14ac:dyDescent="0.2">
      <c r="A305" t="s">
        <v>384</v>
      </c>
      <c r="B305" t="s">
        <v>381</v>
      </c>
      <c r="C305" t="s">
        <v>84</v>
      </c>
      <c r="D305" t="s">
        <v>55</v>
      </c>
      <c r="E305" t="s">
        <v>56</v>
      </c>
      <c r="F305">
        <v>4</v>
      </c>
      <c r="G305">
        <v>40.065365059576777</v>
      </c>
      <c r="H305">
        <v>25.23064360495534</v>
      </c>
      <c r="I305">
        <v>1.57</v>
      </c>
      <c r="J305">
        <v>1.5</v>
      </c>
      <c r="K305">
        <v>0.54</v>
      </c>
      <c r="L305">
        <v>0.05</v>
      </c>
      <c r="M305">
        <v>8</v>
      </c>
      <c r="N305">
        <v>125</v>
      </c>
      <c r="Q305">
        <v>0.53616514621265798</v>
      </c>
      <c r="R305">
        <v>2986346.165161836</v>
      </c>
      <c r="S305">
        <v>-4.8627051430363546E-3</v>
      </c>
      <c r="T305">
        <v>1323.2635029237761</v>
      </c>
      <c r="U305">
        <v>402.90654267010871</v>
      </c>
      <c r="V305">
        <v>292.75741215127789</v>
      </c>
      <c r="W305">
        <v>1.3762471109080341</v>
      </c>
      <c r="X305" t="s">
        <v>57</v>
      </c>
      <c r="Z305">
        <v>771.56600000000003</v>
      </c>
      <c r="AA305">
        <v>95.163399999999996</v>
      </c>
      <c r="AB305">
        <v>42.220700000000001</v>
      </c>
      <c r="AC305">
        <v>15.25925529595016</v>
      </c>
      <c r="AD305">
        <v>50.828320369146567</v>
      </c>
      <c r="AE305">
        <v>50.828320369146567</v>
      </c>
      <c r="AF305" t="s">
        <v>58</v>
      </c>
      <c r="AG305" t="b">
        <v>1</v>
      </c>
      <c r="AH305">
        <v>3.33098302527493</v>
      </c>
      <c r="AI305">
        <v>767.91899999999998</v>
      </c>
      <c r="AJ305">
        <v>91.310100000000006</v>
      </c>
      <c r="AK305">
        <v>39.358900000000013</v>
      </c>
      <c r="AL305">
        <v>14.91928687640134</v>
      </c>
      <c r="AM305">
        <v>50.932475584442592</v>
      </c>
      <c r="AN305">
        <v>50.932475584442592</v>
      </c>
      <c r="AO305" t="s">
        <v>58</v>
      </c>
      <c r="AP305" t="b">
        <v>1</v>
      </c>
      <c r="AQ305">
        <v>3.413867968783769</v>
      </c>
      <c r="AR305">
        <v>771.56600000000003</v>
      </c>
      <c r="AS305">
        <v>50.932475584442592</v>
      </c>
      <c r="AT305">
        <v>3.413867968783769</v>
      </c>
      <c r="AU305" s="5">
        <v>38.046559261578615</v>
      </c>
      <c r="AV305" s="5">
        <v>54.344951448600241</v>
      </c>
      <c r="AW305" s="5">
        <v>2.5501593726814753</v>
      </c>
      <c r="AX305" s="5">
        <v>3.6425971226922815</v>
      </c>
      <c r="AY305" t="s">
        <v>64</v>
      </c>
      <c r="AZ305" t="s">
        <v>11</v>
      </c>
      <c r="BA305" s="23">
        <f t="shared" si="4"/>
        <v>3.9331795798790752E-2</v>
      </c>
      <c r="BB305" s="23">
        <f>IF(AND(ISNUMBER(H305),Metadata!$H$5&gt;Metadata!$G$5),MAX(Metadata!$G$5-H305,0,H305-Metadata!$H$5)/(Metadata!$H$5-Metadata!$G$5),"Missing input")</f>
        <v>0</v>
      </c>
      <c r="BC305" s="23">
        <f>IF(AND(ISNUMBER(L305),Metadata!$H$8&gt;Metadata!$G$8),MAX(Metadata!$G$8-L305,0,L305-Metadata!$H$8)/(Metadata!$H$8-Metadata!$G$8),"Missing input")</f>
        <v>3.9331795798790752E-2</v>
      </c>
    </row>
    <row r="306" spans="1:55" x14ac:dyDescent="0.2">
      <c r="A306" t="s">
        <v>385</v>
      </c>
      <c r="B306" t="s">
        <v>381</v>
      </c>
      <c r="C306" t="s">
        <v>84</v>
      </c>
      <c r="D306" t="s">
        <v>55</v>
      </c>
      <c r="E306" t="s">
        <v>56</v>
      </c>
      <c r="F306">
        <v>5</v>
      </c>
      <c r="G306">
        <v>44.691650234033148</v>
      </c>
      <c r="H306">
        <v>35.278860063057749</v>
      </c>
      <c r="I306">
        <v>1.57</v>
      </c>
      <c r="J306">
        <v>1.5</v>
      </c>
      <c r="K306">
        <v>0.54</v>
      </c>
      <c r="L306">
        <v>0.05</v>
      </c>
      <c r="M306">
        <v>8</v>
      </c>
      <c r="N306">
        <v>125</v>
      </c>
      <c r="Q306">
        <v>0.53616514621265798</v>
      </c>
      <c r="R306">
        <v>4683732.748780732</v>
      </c>
      <c r="S306">
        <v>-5.2935889889951576E-3</v>
      </c>
      <c r="T306">
        <v>2061.9786008310161</v>
      </c>
      <c r="U306">
        <v>420.61586698098569</v>
      </c>
      <c r="V306">
        <v>456.18995593606547</v>
      </c>
      <c r="W306">
        <v>0.9220191315214632</v>
      </c>
      <c r="X306" t="s">
        <v>87</v>
      </c>
      <c r="Z306">
        <v>912.98599999999999</v>
      </c>
      <c r="AA306">
        <v>95.163399999999996</v>
      </c>
      <c r="AB306">
        <v>33.5276</v>
      </c>
      <c r="AC306">
        <v>14.424227006820569</v>
      </c>
      <c r="AD306">
        <v>36.914912805012669</v>
      </c>
      <c r="AE306">
        <v>36.914912805012669</v>
      </c>
      <c r="AF306" t="s">
        <v>58</v>
      </c>
      <c r="AG306" t="b">
        <v>1</v>
      </c>
      <c r="AH306">
        <v>2.559229883692018</v>
      </c>
      <c r="AI306">
        <v>909.64400000000001</v>
      </c>
      <c r="AJ306">
        <v>91.310100000000006</v>
      </c>
      <c r="AK306">
        <v>32.289299999999997</v>
      </c>
      <c r="AL306">
        <v>13.763647008547</v>
      </c>
      <c r="AM306">
        <v>36.073067237593762</v>
      </c>
      <c r="AN306">
        <v>36.073067237593762</v>
      </c>
      <c r="AO306" t="s">
        <v>58</v>
      </c>
      <c r="AP306" t="b">
        <v>1</v>
      </c>
      <c r="AQ306">
        <v>2.6208945358154692</v>
      </c>
      <c r="AR306">
        <v>912.98599999999999</v>
      </c>
      <c r="AS306">
        <v>36.914912805012669</v>
      </c>
      <c r="AT306">
        <v>2.6208945358154692</v>
      </c>
      <c r="AU306" s="5" t="s">
        <v>88</v>
      </c>
      <c r="AV306" s="5" t="s">
        <v>88</v>
      </c>
      <c r="AW306" s="5" t="s">
        <v>88</v>
      </c>
      <c r="AX306" s="5" t="s">
        <v>88</v>
      </c>
      <c r="AY306" t="s">
        <v>64</v>
      </c>
      <c r="AZ306" t="s">
        <v>11</v>
      </c>
      <c r="BA306" s="23">
        <f t="shared" si="4"/>
        <v>3.9331795798790752E-2</v>
      </c>
      <c r="BB306" s="23">
        <f>IF(AND(ISNUMBER(H306),Metadata!$H$5&gt;Metadata!$G$5),MAX(Metadata!$G$5-H306,0,H306-Metadata!$H$5)/(Metadata!$H$5-Metadata!$G$5),"Missing input")</f>
        <v>0</v>
      </c>
      <c r="BC306" s="23">
        <f>IF(AND(ISNUMBER(L306),Metadata!$H$8&gt;Metadata!$G$8),MAX(Metadata!$G$8-L306,0,L306-Metadata!$H$8)/(Metadata!$H$8-Metadata!$G$8),"Missing input")</f>
        <v>3.9331795798790752E-2</v>
      </c>
    </row>
    <row r="307" spans="1:55" x14ac:dyDescent="0.2">
      <c r="A307" t="s">
        <v>386</v>
      </c>
      <c r="B307" t="s">
        <v>381</v>
      </c>
      <c r="C307" t="s">
        <v>84</v>
      </c>
      <c r="D307" t="s">
        <v>55</v>
      </c>
      <c r="E307" t="s">
        <v>56</v>
      </c>
      <c r="F307">
        <v>6</v>
      </c>
      <c r="G307">
        <v>33.086500490231572</v>
      </c>
      <c r="H307">
        <v>19.79580616436397</v>
      </c>
      <c r="I307">
        <v>1.57</v>
      </c>
      <c r="J307">
        <v>1.5</v>
      </c>
      <c r="K307">
        <v>0.54</v>
      </c>
      <c r="L307">
        <v>0.05</v>
      </c>
      <c r="M307">
        <v>8</v>
      </c>
      <c r="N307">
        <v>125</v>
      </c>
      <c r="Q307">
        <v>0.53616514621265798</v>
      </c>
      <c r="R307">
        <v>1918643.176085273</v>
      </c>
      <c r="S307">
        <v>-4.3635292628305244E-3</v>
      </c>
      <c r="T307">
        <v>915.0391797947683</v>
      </c>
      <c r="U307">
        <v>374.12836023116557</v>
      </c>
      <c r="V307">
        <v>202.44229641477179</v>
      </c>
      <c r="W307">
        <v>1.848074077685014</v>
      </c>
      <c r="X307" t="s">
        <v>57</v>
      </c>
      <c r="Z307">
        <v>617.14200000000005</v>
      </c>
      <c r="AA307">
        <v>95.163399999999996</v>
      </c>
      <c r="AB307">
        <v>37.809100000000001</v>
      </c>
      <c r="AC307">
        <v>15.33964293271266</v>
      </c>
      <c r="AD307">
        <v>38.024389226675233</v>
      </c>
      <c r="AE307">
        <v>38.024389226675233</v>
      </c>
      <c r="AF307" t="s">
        <v>58</v>
      </c>
      <c r="AG307" t="b">
        <v>1</v>
      </c>
      <c r="AH307">
        <v>2.478831443043962</v>
      </c>
      <c r="AI307">
        <v>602.23599999999999</v>
      </c>
      <c r="AJ307">
        <v>91.310100000000006</v>
      </c>
      <c r="AK307">
        <v>32.289299999999997</v>
      </c>
      <c r="AL307">
        <v>14.33586779935275</v>
      </c>
      <c r="AM307">
        <v>51.399611241065628</v>
      </c>
      <c r="AN307">
        <v>51.399611241065628</v>
      </c>
      <c r="AO307" t="s">
        <v>58</v>
      </c>
      <c r="AP307" t="b">
        <v>1</v>
      </c>
      <c r="AQ307">
        <v>3.585385409551995</v>
      </c>
      <c r="AR307">
        <v>617.14200000000005</v>
      </c>
      <c r="AS307">
        <v>51.399611241065628</v>
      </c>
      <c r="AT307">
        <v>3.585385409551995</v>
      </c>
      <c r="AU307" s="5">
        <v>38.395509597076021</v>
      </c>
      <c r="AV307" s="5">
        <v>54.843385194217021</v>
      </c>
      <c r="AW307" s="5">
        <v>2.6782829009353404</v>
      </c>
      <c r="AX307" s="5">
        <v>3.8256062319919786</v>
      </c>
      <c r="AY307" t="s">
        <v>64</v>
      </c>
      <c r="AZ307" t="s">
        <v>11</v>
      </c>
      <c r="BA307" s="23">
        <f t="shared" si="4"/>
        <v>3.9331795798790752E-2</v>
      </c>
      <c r="BB307" s="23">
        <f>IF(AND(ISNUMBER(H307),Metadata!$H$5&gt;Metadata!$G$5),MAX(Metadata!$G$5-H307,0,H307-Metadata!$H$5)/(Metadata!$H$5-Metadata!$G$5),"Missing input")</f>
        <v>0</v>
      </c>
      <c r="BC307" s="23">
        <f>IF(AND(ISNUMBER(L307),Metadata!$H$8&gt;Metadata!$G$8),MAX(Metadata!$G$8-L307,0,L307-Metadata!$H$8)/(Metadata!$H$8-Metadata!$G$8),"Missing input")</f>
        <v>3.9331795798790752E-2</v>
      </c>
    </row>
    <row r="308" spans="1:55" x14ac:dyDescent="0.2">
      <c r="A308" t="s">
        <v>387</v>
      </c>
      <c r="B308" t="s">
        <v>381</v>
      </c>
      <c r="C308" t="s">
        <v>84</v>
      </c>
      <c r="D308" t="s">
        <v>55</v>
      </c>
      <c r="E308" t="s">
        <v>56</v>
      </c>
      <c r="F308">
        <v>7</v>
      </c>
      <c r="G308">
        <v>42.943727860216583</v>
      </c>
      <c r="H308">
        <v>31.604415760045629</v>
      </c>
      <c r="I308">
        <v>1.57</v>
      </c>
      <c r="J308">
        <v>1.5</v>
      </c>
      <c r="K308">
        <v>0.54</v>
      </c>
      <c r="L308">
        <v>0.05</v>
      </c>
      <c r="M308">
        <v>8</v>
      </c>
      <c r="N308">
        <v>125</v>
      </c>
      <c r="Q308">
        <v>0.53616514621265798</v>
      </c>
      <c r="R308">
        <v>4025355.613741619</v>
      </c>
      <c r="S308">
        <v>-5.2069361348022914E-3</v>
      </c>
      <c r="T308">
        <v>1767.125197942283</v>
      </c>
      <c r="U308">
        <v>414.03778154637018</v>
      </c>
      <c r="V308">
        <v>390.95690219962017</v>
      </c>
      <c r="W308">
        <v>1.059036889275752</v>
      </c>
      <c r="X308" t="s">
        <v>87</v>
      </c>
      <c r="Z308">
        <v>867.74099999999999</v>
      </c>
      <c r="AA308">
        <v>95.163399999999996</v>
      </c>
      <c r="AB308">
        <v>36.549900000000001</v>
      </c>
      <c r="AC308">
        <v>14.845631739835</v>
      </c>
      <c r="AD308">
        <v>40.556139146045489</v>
      </c>
      <c r="AE308">
        <v>40.556139146045489</v>
      </c>
      <c r="AF308" t="s">
        <v>58</v>
      </c>
      <c r="AG308" t="b">
        <v>1</v>
      </c>
      <c r="AH308">
        <v>2.731856741213778</v>
      </c>
      <c r="AI308">
        <v>863.85799999999995</v>
      </c>
      <c r="AJ308">
        <v>91.310100000000006</v>
      </c>
      <c r="AK308">
        <v>36.219900000000003</v>
      </c>
      <c r="AL308">
        <v>14.279356091790859</v>
      </c>
      <c r="AM308">
        <v>39.714020718939913</v>
      </c>
      <c r="AN308">
        <v>39.714020718939913</v>
      </c>
      <c r="AO308" t="s">
        <v>58</v>
      </c>
      <c r="AP308" t="b">
        <v>1</v>
      </c>
      <c r="AQ308">
        <v>2.7812192975404071</v>
      </c>
      <c r="AR308">
        <v>867.74099999999999</v>
      </c>
      <c r="AS308">
        <v>40.556139146045489</v>
      </c>
      <c r="AT308">
        <v>2.7812192975404071</v>
      </c>
      <c r="AU308" s="5" t="s">
        <v>88</v>
      </c>
      <c r="AV308" s="5" t="s">
        <v>88</v>
      </c>
      <c r="AW308" s="5" t="s">
        <v>88</v>
      </c>
      <c r="AX308" s="5" t="s">
        <v>88</v>
      </c>
      <c r="AY308" t="s">
        <v>64</v>
      </c>
      <c r="AZ308" t="s">
        <v>11</v>
      </c>
      <c r="BA308" s="23">
        <f t="shared" si="4"/>
        <v>3.9331795798790752E-2</v>
      </c>
      <c r="BB308" s="23">
        <f>IF(AND(ISNUMBER(H308),Metadata!$H$5&gt;Metadata!$G$5),MAX(Metadata!$G$5-H308,0,H308-Metadata!$H$5)/(Metadata!$H$5-Metadata!$G$5),"Missing input")</f>
        <v>0</v>
      </c>
      <c r="BC308" s="23">
        <f>IF(AND(ISNUMBER(L308),Metadata!$H$8&gt;Metadata!$G$8),MAX(Metadata!$G$8-L308,0,L308-Metadata!$H$8)/(Metadata!$H$8-Metadata!$G$8),"Missing input")</f>
        <v>3.9331795798790752E-2</v>
      </c>
    </row>
    <row r="309" spans="1:55" x14ac:dyDescent="0.2">
      <c r="A309" t="s">
        <v>388</v>
      </c>
      <c r="B309" t="s">
        <v>381</v>
      </c>
      <c r="C309" t="s">
        <v>84</v>
      </c>
      <c r="D309" t="s">
        <v>55</v>
      </c>
      <c r="E309" t="s">
        <v>56</v>
      </c>
      <c r="F309">
        <v>8</v>
      </c>
      <c r="G309">
        <v>29.155454969686971</v>
      </c>
      <c r="H309">
        <v>7.3398505058277053</v>
      </c>
      <c r="I309">
        <v>1.57</v>
      </c>
      <c r="J309">
        <v>1.5</v>
      </c>
      <c r="K309">
        <v>0.54</v>
      </c>
      <c r="L309">
        <v>0.05</v>
      </c>
      <c r="M309">
        <v>8</v>
      </c>
      <c r="N309">
        <v>125</v>
      </c>
      <c r="Q309">
        <v>0.53616514621265798</v>
      </c>
      <c r="R309">
        <v>595711.36772068124</v>
      </c>
      <c r="S309">
        <v>-2.790784068884178E-3</v>
      </c>
      <c r="T309">
        <v>480.50831710260849</v>
      </c>
      <c r="U309">
        <v>356.56616392634919</v>
      </c>
      <c r="V309">
        <v>106.3071498014621</v>
      </c>
      <c r="W309">
        <v>3.3541127251766958</v>
      </c>
      <c r="X309" t="s">
        <v>57</v>
      </c>
      <c r="Z309">
        <v>417.14299999999997</v>
      </c>
      <c r="AA309">
        <v>95.163399999999996</v>
      </c>
      <c r="AB309">
        <v>65.006200000000007</v>
      </c>
      <c r="AC309">
        <v>16.28437918362156</v>
      </c>
      <c r="AE309">
        <v>95.163399999999996</v>
      </c>
      <c r="AF309" t="s">
        <v>62</v>
      </c>
      <c r="AG309" t="b">
        <v>0</v>
      </c>
      <c r="AH309">
        <v>5.8438457448665311</v>
      </c>
      <c r="AI309">
        <v>413.50900000000001</v>
      </c>
      <c r="AJ309">
        <v>91.310100000000006</v>
      </c>
      <c r="AK309">
        <v>64.811499999999995</v>
      </c>
      <c r="AL309">
        <v>15.78921562745869</v>
      </c>
      <c r="AN309">
        <v>91.310100000000006</v>
      </c>
      <c r="AO309" t="s">
        <v>62</v>
      </c>
      <c r="AP309" t="b">
        <v>0</v>
      </c>
      <c r="AQ309">
        <v>5.7830675161091936</v>
      </c>
      <c r="AR309">
        <v>417.14299999999997</v>
      </c>
      <c r="AS309">
        <v>95.163399999999996</v>
      </c>
      <c r="AT309">
        <v>5.8438457448665311</v>
      </c>
      <c r="AU309" s="5">
        <v>71.087059799999992</v>
      </c>
      <c r="AV309" s="5">
        <v>101.53934779999999</v>
      </c>
      <c r="AW309" s="5">
        <v>4.3653527714152984</v>
      </c>
      <c r="AX309" s="5">
        <v>6.235383409772588</v>
      </c>
      <c r="AY309" t="s">
        <v>64</v>
      </c>
      <c r="AZ309" t="s">
        <v>11</v>
      </c>
      <c r="BA309" s="23">
        <f t="shared" si="4"/>
        <v>3.9331795798790752E-2</v>
      </c>
      <c r="BB309" s="23">
        <f>IF(AND(ISNUMBER(H309),Metadata!$H$5&gt;Metadata!$G$5),MAX(Metadata!$G$5-H309,0,H309-Metadata!$H$5)/(Metadata!$H$5-Metadata!$G$5),"Missing input")</f>
        <v>0</v>
      </c>
      <c r="BC309" s="23">
        <f>IF(AND(ISNUMBER(L309),Metadata!$H$8&gt;Metadata!$G$8),MAX(Metadata!$G$8-L309,0,L309-Metadata!$H$8)/(Metadata!$H$8-Metadata!$G$8),"Missing input")</f>
        <v>3.9331795798790752E-2</v>
      </c>
    </row>
    <row r="310" spans="1:55" x14ac:dyDescent="0.2">
      <c r="A310" t="s">
        <v>389</v>
      </c>
      <c r="B310" t="s">
        <v>381</v>
      </c>
      <c r="C310" t="s">
        <v>84</v>
      </c>
      <c r="D310" t="s">
        <v>55</v>
      </c>
      <c r="E310" t="s">
        <v>56</v>
      </c>
      <c r="F310">
        <v>9</v>
      </c>
      <c r="G310">
        <v>59.748609235827082</v>
      </c>
      <c r="H310">
        <v>37.783512331141722</v>
      </c>
      <c r="I310">
        <v>1.57</v>
      </c>
      <c r="J310">
        <v>1.5</v>
      </c>
      <c r="K310">
        <v>0.54</v>
      </c>
      <c r="L310">
        <v>0.05</v>
      </c>
      <c r="M310">
        <v>8</v>
      </c>
      <c r="N310">
        <v>125</v>
      </c>
      <c r="Q310">
        <v>0.53616514621265798</v>
      </c>
      <c r="R310">
        <v>6726258.2664913209</v>
      </c>
      <c r="S310">
        <v>-5.3121418341351171E-3</v>
      </c>
      <c r="T310">
        <v>2958.9793454838732</v>
      </c>
      <c r="U310">
        <v>472.65571468842592</v>
      </c>
      <c r="V310">
        <v>654.64144811590108</v>
      </c>
      <c r="W310">
        <v>0.72200701017138236</v>
      </c>
      <c r="X310" t="s">
        <v>87</v>
      </c>
      <c r="Z310">
        <v>1157.21</v>
      </c>
      <c r="AA310">
        <v>95.163399999999996</v>
      </c>
      <c r="AB310">
        <v>31.764600000000002</v>
      </c>
      <c r="AC310">
        <v>14.561306507381509</v>
      </c>
      <c r="AD310">
        <v>33.864958804263317</v>
      </c>
      <c r="AE310">
        <v>33.864958804263317</v>
      </c>
      <c r="AF310" t="s">
        <v>58</v>
      </c>
      <c r="AG310" t="b">
        <v>1</v>
      </c>
      <c r="AH310">
        <v>2.325681338216202</v>
      </c>
      <c r="AI310">
        <v>1160.29</v>
      </c>
      <c r="AJ310">
        <v>91.310100000000006</v>
      </c>
      <c r="AK310">
        <v>32.289299999999997</v>
      </c>
      <c r="AL310">
        <v>13.87212822830158</v>
      </c>
      <c r="AM310">
        <v>33.162974511849548</v>
      </c>
      <c r="AN310">
        <v>33.162974511849548</v>
      </c>
      <c r="AO310" t="s">
        <v>58</v>
      </c>
      <c r="AP310" t="b">
        <v>1</v>
      </c>
      <c r="AQ310">
        <v>2.3906190864204429</v>
      </c>
      <c r="AR310">
        <v>1160.29</v>
      </c>
      <c r="AS310">
        <v>33.864958804263317</v>
      </c>
      <c r="AT310">
        <v>2.3906190864204429</v>
      </c>
      <c r="AU310" s="5" t="s">
        <v>88</v>
      </c>
      <c r="AV310" s="5" t="s">
        <v>88</v>
      </c>
      <c r="AW310" s="5" t="s">
        <v>88</v>
      </c>
      <c r="AX310" s="5" t="s">
        <v>88</v>
      </c>
      <c r="AY310" t="s">
        <v>64</v>
      </c>
      <c r="AZ310" t="s">
        <v>11</v>
      </c>
      <c r="BA310" s="23">
        <f t="shared" si="4"/>
        <v>3.9331795798790752E-2</v>
      </c>
      <c r="BB310" s="23">
        <f>IF(AND(ISNUMBER(H310),Metadata!$H$5&gt;Metadata!$G$5),MAX(Metadata!$G$5-H310,0,H310-Metadata!$H$5)/(Metadata!$H$5-Metadata!$G$5),"Missing input")</f>
        <v>0</v>
      </c>
      <c r="BC310" s="23">
        <f>IF(AND(ISNUMBER(L310),Metadata!$H$8&gt;Metadata!$G$8),MAX(Metadata!$G$8-L310,0,L310-Metadata!$H$8)/(Metadata!$H$8-Metadata!$G$8),"Missing input")</f>
        <v>3.9331795798790752E-2</v>
      </c>
    </row>
    <row r="311" spans="1:55" x14ac:dyDescent="0.2">
      <c r="A311" t="s">
        <v>390</v>
      </c>
      <c r="B311" t="s">
        <v>381</v>
      </c>
      <c r="C311" t="s">
        <v>84</v>
      </c>
      <c r="D311" t="s">
        <v>55</v>
      </c>
      <c r="E311" t="s">
        <v>56</v>
      </c>
      <c r="F311">
        <v>10</v>
      </c>
      <c r="G311">
        <v>34.746337553007109</v>
      </c>
      <c r="H311">
        <v>23.7414613202046</v>
      </c>
      <c r="I311">
        <v>1.57</v>
      </c>
      <c r="J311">
        <v>1.5</v>
      </c>
      <c r="K311">
        <v>0.54</v>
      </c>
      <c r="L311">
        <v>0.05</v>
      </c>
      <c r="M311">
        <v>8</v>
      </c>
      <c r="N311">
        <v>125</v>
      </c>
      <c r="Q311">
        <v>0.53616514621265798</v>
      </c>
      <c r="R311">
        <v>2428507.8121004719</v>
      </c>
      <c r="S311">
        <v>-4.7442292329160224E-3</v>
      </c>
      <c r="T311">
        <v>1111.217336052197</v>
      </c>
      <c r="U311">
        <v>381.22860755592978</v>
      </c>
      <c r="V311">
        <v>245.84454337438001</v>
      </c>
      <c r="W311">
        <v>1.550689725805233</v>
      </c>
      <c r="X311" t="s">
        <v>57</v>
      </c>
      <c r="Z311">
        <v>687.745</v>
      </c>
      <c r="AA311">
        <v>95.163399999999996</v>
      </c>
      <c r="AB311">
        <v>44.0137</v>
      </c>
      <c r="AC311">
        <v>15.553143010963201</v>
      </c>
      <c r="AD311">
        <v>54.057939961044021</v>
      </c>
      <c r="AE311">
        <v>54.057939961044021</v>
      </c>
      <c r="AF311" t="s">
        <v>58</v>
      </c>
      <c r="AG311" t="b">
        <v>1</v>
      </c>
      <c r="AH311">
        <v>3.475692335815296</v>
      </c>
      <c r="AI311">
        <v>682.60599999999999</v>
      </c>
      <c r="AJ311">
        <v>91.310100000000006</v>
      </c>
      <c r="AK311">
        <v>43.8568</v>
      </c>
      <c r="AL311">
        <v>15.124155818294961</v>
      </c>
      <c r="AM311">
        <v>53.215949468670622</v>
      </c>
      <c r="AN311">
        <v>53.215949468670622</v>
      </c>
      <c r="AO311" t="s">
        <v>58</v>
      </c>
      <c r="AP311" t="b">
        <v>1</v>
      </c>
      <c r="AQ311">
        <v>3.5186062685427939</v>
      </c>
      <c r="AR311">
        <v>687.745</v>
      </c>
      <c r="AS311">
        <v>54.057939961044021</v>
      </c>
      <c r="AT311">
        <v>3.5186062685427939</v>
      </c>
      <c r="AU311" s="5">
        <v>40.381281150899881</v>
      </c>
      <c r="AV311" s="5">
        <v>57.679821938433967</v>
      </c>
      <c r="AW311" s="5">
        <v>2.6283988826014673</v>
      </c>
      <c r="AX311" s="5">
        <v>3.7543528885351609</v>
      </c>
      <c r="AY311" t="s">
        <v>64</v>
      </c>
      <c r="AZ311" t="s">
        <v>11</v>
      </c>
      <c r="BA311" s="23">
        <f t="shared" si="4"/>
        <v>3.9331795798790752E-2</v>
      </c>
      <c r="BB311" s="23">
        <f>IF(AND(ISNUMBER(H311),Metadata!$H$5&gt;Metadata!$G$5),MAX(Metadata!$G$5-H311,0,H311-Metadata!$H$5)/(Metadata!$H$5-Metadata!$G$5),"Missing input")</f>
        <v>0</v>
      </c>
      <c r="BC311" s="23">
        <f>IF(AND(ISNUMBER(L311),Metadata!$H$8&gt;Metadata!$G$8),MAX(Metadata!$G$8-L311,0,L311-Metadata!$H$8)/(Metadata!$H$8-Metadata!$G$8),"Missing input")</f>
        <v>3.9331795798790752E-2</v>
      </c>
    </row>
    <row r="312" spans="1:55" x14ac:dyDescent="0.2">
      <c r="A312" t="s">
        <v>391</v>
      </c>
      <c r="B312" t="s">
        <v>381</v>
      </c>
      <c r="C312" t="s">
        <v>84</v>
      </c>
      <c r="D312" t="s">
        <v>55</v>
      </c>
      <c r="E312" t="s">
        <v>56</v>
      </c>
      <c r="F312">
        <v>11</v>
      </c>
      <c r="G312">
        <v>24.502161634428251</v>
      </c>
      <c r="H312">
        <v>33.048591474592847</v>
      </c>
      <c r="I312">
        <v>1.57</v>
      </c>
      <c r="J312">
        <v>1.5</v>
      </c>
      <c r="K312">
        <v>0.54</v>
      </c>
      <c r="L312">
        <v>0.05</v>
      </c>
      <c r="M312">
        <v>8</v>
      </c>
      <c r="N312">
        <v>125</v>
      </c>
      <c r="Q312">
        <v>0.53616514621265798</v>
      </c>
      <c r="R312">
        <v>2383007.1153019848</v>
      </c>
      <c r="S312">
        <v>-5.2499764254140061E-3</v>
      </c>
      <c r="T312">
        <v>1134.971999997148</v>
      </c>
      <c r="U312">
        <v>334.16607855514201</v>
      </c>
      <c r="V312">
        <v>251.099999999369</v>
      </c>
      <c r="W312">
        <v>1.3308087556988519</v>
      </c>
      <c r="X312" t="s">
        <v>57</v>
      </c>
      <c r="Z312">
        <v>596.80499999999995</v>
      </c>
      <c r="AA312">
        <v>95.163399999999996</v>
      </c>
      <c r="AB312">
        <v>35.7943</v>
      </c>
      <c r="AC312">
        <v>15.211090967113799</v>
      </c>
      <c r="AD312">
        <v>40.333103938906753</v>
      </c>
      <c r="AE312">
        <v>40.333103938906753</v>
      </c>
      <c r="AF312" t="s">
        <v>58</v>
      </c>
      <c r="AG312" t="b">
        <v>1</v>
      </c>
      <c r="AH312">
        <v>2.6515589201396819</v>
      </c>
      <c r="AI312">
        <v>591.43100000000004</v>
      </c>
      <c r="AJ312">
        <v>91.310100000000006</v>
      </c>
      <c r="AK312">
        <v>35.1736</v>
      </c>
      <c r="AL312">
        <v>14.534827221833449</v>
      </c>
      <c r="AM312">
        <v>39.873800764344772</v>
      </c>
      <c r="AN312">
        <v>39.873800764344772</v>
      </c>
      <c r="AO312" t="s">
        <v>58</v>
      </c>
      <c r="AP312" t="b">
        <v>1</v>
      </c>
      <c r="AQ312">
        <v>2.7433281562816552</v>
      </c>
      <c r="AR312">
        <v>596.80499999999995</v>
      </c>
      <c r="AS312">
        <v>40.333103938906753</v>
      </c>
      <c r="AT312">
        <v>2.7433281562816552</v>
      </c>
      <c r="AU312" s="5">
        <v>30.128828642363345</v>
      </c>
      <c r="AV312" s="5">
        <v>43.035421902813503</v>
      </c>
      <c r="AW312" s="5">
        <v>2.0492661327423964</v>
      </c>
      <c r="AX312" s="5">
        <v>2.9271311427525259</v>
      </c>
      <c r="AY312" t="s">
        <v>64</v>
      </c>
      <c r="AZ312" t="s">
        <v>11</v>
      </c>
      <c r="BA312" s="23">
        <f t="shared" si="4"/>
        <v>3.9331795798790752E-2</v>
      </c>
      <c r="BB312" s="23">
        <f>IF(AND(ISNUMBER(H312),Metadata!$H$5&gt;Metadata!$G$5),MAX(Metadata!$G$5-H312,0,H312-Metadata!$H$5)/(Metadata!$H$5-Metadata!$G$5),"Missing input")</f>
        <v>0</v>
      </c>
      <c r="BC312" s="23">
        <f>IF(AND(ISNUMBER(L312),Metadata!$H$8&gt;Metadata!$G$8),MAX(Metadata!$G$8-L312,0,L312-Metadata!$H$8)/(Metadata!$H$8-Metadata!$G$8),"Missing input")</f>
        <v>3.9331795798790752E-2</v>
      </c>
    </row>
    <row r="313" spans="1:55" x14ac:dyDescent="0.2">
      <c r="A313" t="s">
        <v>392</v>
      </c>
      <c r="B313" t="s">
        <v>381</v>
      </c>
      <c r="C313" t="s">
        <v>84</v>
      </c>
      <c r="D313" t="s">
        <v>55</v>
      </c>
      <c r="E313" t="s">
        <v>56</v>
      </c>
      <c r="F313">
        <v>12</v>
      </c>
      <c r="G313">
        <v>56.241153781572699</v>
      </c>
      <c r="H313">
        <v>14.78764467513273</v>
      </c>
      <c r="I313">
        <v>1.57</v>
      </c>
      <c r="J313">
        <v>1.5</v>
      </c>
      <c r="K313">
        <v>0.54</v>
      </c>
      <c r="L313">
        <v>0.05</v>
      </c>
      <c r="M313">
        <v>8</v>
      </c>
      <c r="N313">
        <v>125</v>
      </c>
      <c r="Q313">
        <v>0.53616514621265798</v>
      </c>
      <c r="R313">
        <v>2448743.9197241841</v>
      </c>
      <c r="S313">
        <v>-3.7672353516270711E-3</v>
      </c>
      <c r="T313">
        <v>1060.8343060705299</v>
      </c>
      <c r="U313">
        <v>461.18138055412891</v>
      </c>
      <c r="V313">
        <v>234.69785532533859</v>
      </c>
      <c r="W313">
        <v>1.9650004040933331</v>
      </c>
      <c r="X313" t="s">
        <v>57</v>
      </c>
      <c r="Z313">
        <v>761.49300000000005</v>
      </c>
      <c r="AA313">
        <v>95.1661</v>
      </c>
      <c r="AB313">
        <v>37.809100000000001</v>
      </c>
      <c r="AC313">
        <v>14.180045266222971</v>
      </c>
      <c r="AD313">
        <v>37.978153013475954</v>
      </c>
      <c r="AE313">
        <v>37.978153013475954</v>
      </c>
      <c r="AF313" t="s">
        <v>58</v>
      </c>
      <c r="AG313" t="b">
        <v>1</v>
      </c>
      <c r="AH313">
        <v>2.6782815076014148</v>
      </c>
      <c r="AI313">
        <v>748.35400000000004</v>
      </c>
      <c r="AJ313">
        <v>89.491100000000003</v>
      </c>
      <c r="AK313">
        <v>51.754800000000003</v>
      </c>
      <c r="AL313">
        <v>13.45566701991828</v>
      </c>
      <c r="AN313">
        <v>89.491100000000003</v>
      </c>
      <c r="AO313" t="s">
        <v>62</v>
      </c>
      <c r="AP313" t="b">
        <v>0</v>
      </c>
      <c r="AQ313">
        <v>6.6508111316612766</v>
      </c>
      <c r="AR313">
        <v>761.49300000000005</v>
      </c>
      <c r="AS313">
        <v>89.491100000000003</v>
      </c>
      <c r="AT313">
        <v>6.6508111316612766</v>
      </c>
      <c r="AU313" s="5">
        <v>66.849851700000002</v>
      </c>
      <c r="AV313" s="5">
        <v>95.487003700000002</v>
      </c>
      <c r="AW313" s="5">
        <v>4.968155915350974</v>
      </c>
      <c r="AX313" s="5">
        <v>7.0964154774825818</v>
      </c>
      <c r="AY313" t="s">
        <v>64</v>
      </c>
      <c r="AZ313" t="s">
        <v>11</v>
      </c>
      <c r="BA313" s="23">
        <f t="shared" si="4"/>
        <v>3.9331795798790752E-2</v>
      </c>
      <c r="BB313" s="23">
        <f>IF(AND(ISNUMBER(H313),Metadata!$H$5&gt;Metadata!$G$5),MAX(Metadata!$G$5-H313,0,H313-Metadata!$H$5)/(Metadata!$H$5-Metadata!$G$5),"Missing input")</f>
        <v>0</v>
      </c>
      <c r="BC313" s="23">
        <f>IF(AND(ISNUMBER(L313),Metadata!$H$8&gt;Metadata!$G$8),MAX(Metadata!$G$8-L313,0,L313-Metadata!$H$8)/(Metadata!$H$8-Metadata!$G$8),"Missing input")</f>
        <v>3.9331795798790752E-2</v>
      </c>
    </row>
    <row r="314" spans="1:55" x14ac:dyDescent="0.2">
      <c r="A314" t="s">
        <v>393</v>
      </c>
      <c r="B314" t="s">
        <v>381</v>
      </c>
      <c r="C314" t="s">
        <v>84</v>
      </c>
      <c r="D314" t="s">
        <v>55</v>
      </c>
      <c r="E314" t="s">
        <v>56</v>
      </c>
      <c r="F314">
        <v>13</v>
      </c>
      <c r="G314">
        <v>49.119901382435643</v>
      </c>
      <c r="H314">
        <v>22.54933477691009</v>
      </c>
      <c r="I314">
        <v>1.57</v>
      </c>
      <c r="J314">
        <v>1.5</v>
      </c>
      <c r="K314">
        <v>0.54</v>
      </c>
      <c r="L314">
        <v>0.05</v>
      </c>
      <c r="M314">
        <v>8</v>
      </c>
      <c r="N314">
        <v>125</v>
      </c>
      <c r="Q314">
        <v>0.53616514621265798</v>
      </c>
      <c r="R314">
        <v>3276584.6264440492</v>
      </c>
      <c r="S314">
        <v>-4.6391224413227031E-3</v>
      </c>
      <c r="T314">
        <v>1412.968799359719</v>
      </c>
      <c r="U314">
        <v>436.72679835857213</v>
      </c>
      <c r="V314">
        <v>312.60371667250428</v>
      </c>
      <c r="W314">
        <v>1.3970620791310171</v>
      </c>
      <c r="X314" t="s">
        <v>57</v>
      </c>
      <c r="Z314">
        <v>855.221</v>
      </c>
      <c r="AA314">
        <v>95.091999999999999</v>
      </c>
      <c r="AB314">
        <v>44.910200000000003</v>
      </c>
      <c r="AC314">
        <v>15.200711768890301</v>
      </c>
      <c r="AD314">
        <v>45.687240984357118</v>
      </c>
      <c r="AE314">
        <v>45.687240984357118</v>
      </c>
      <c r="AF314" t="s">
        <v>58</v>
      </c>
      <c r="AG314" t="b">
        <v>1</v>
      </c>
      <c r="AH314">
        <v>3.0055987955682708</v>
      </c>
      <c r="AI314">
        <v>846.57399999999996</v>
      </c>
      <c r="AJ314">
        <v>91.381500000000003</v>
      </c>
      <c r="AK314">
        <v>39.358900000000013</v>
      </c>
      <c r="AL314">
        <v>14.74666700783421</v>
      </c>
      <c r="AM314">
        <v>53.711993454536611</v>
      </c>
      <c r="AN314">
        <v>53.711993454536611</v>
      </c>
      <c r="AO314" t="s">
        <v>58</v>
      </c>
      <c r="AP314" t="b">
        <v>1</v>
      </c>
      <c r="AQ314">
        <v>3.6423141192516209</v>
      </c>
      <c r="AR314">
        <v>855.221</v>
      </c>
      <c r="AS314">
        <v>53.711993454536611</v>
      </c>
      <c r="AT314">
        <v>3.6423141192516209</v>
      </c>
      <c r="AU314" s="5">
        <v>40.122859110538847</v>
      </c>
      <c r="AV314" s="5">
        <v>57.310697015990563</v>
      </c>
      <c r="AW314" s="5">
        <v>2.7208086470809607</v>
      </c>
      <c r="AX314" s="5">
        <v>3.8863491652414792</v>
      </c>
      <c r="AY314" t="s">
        <v>64</v>
      </c>
      <c r="AZ314" t="s">
        <v>11</v>
      </c>
      <c r="BA314" s="23">
        <f t="shared" si="4"/>
        <v>3.9331795798790752E-2</v>
      </c>
      <c r="BB314" s="23">
        <f>IF(AND(ISNUMBER(H314),Metadata!$H$5&gt;Metadata!$G$5),MAX(Metadata!$G$5-H314,0,H314-Metadata!$H$5)/(Metadata!$H$5-Metadata!$G$5),"Missing input")</f>
        <v>0</v>
      </c>
      <c r="BC314" s="23">
        <f>IF(AND(ISNUMBER(L314),Metadata!$H$8&gt;Metadata!$G$8),MAX(Metadata!$G$8-L314,0,L314-Metadata!$H$8)/(Metadata!$H$8-Metadata!$G$8),"Missing input")</f>
        <v>3.9331795798790752E-2</v>
      </c>
    </row>
    <row r="315" spans="1:55" x14ac:dyDescent="0.2">
      <c r="A315" t="s">
        <v>394</v>
      </c>
      <c r="B315" t="s">
        <v>381</v>
      </c>
      <c r="C315" t="s">
        <v>84</v>
      </c>
      <c r="D315" t="s">
        <v>55</v>
      </c>
      <c r="E315" t="s">
        <v>56</v>
      </c>
      <c r="F315">
        <v>14</v>
      </c>
      <c r="G315">
        <v>37.958866376576751</v>
      </c>
      <c r="H315">
        <v>9.8264864335603903</v>
      </c>
      <c r="I315">
        <v>1.57</v>
      </c>
      <c r="J315">
        <v>1.5</v>
      </c>
      <c r="K315">
        <v>0.54</v>
      </c>
      <c r="L315">
        <v>0.05</v>
      </c>
      <c r="M315">
        <v>8</v>
      </c>
      <c r="N315">
        <v>125</v>
      </c>
      <c r="Q315">
        <v>0.53616514621265798</v>
      </c>
      <c r="R315">
        <v>1072728.181448289</v>
      </c>
      <c r="S315">
        <v>-3.11521940497654E-3</v>
      </c>
      <c r="T315">
        <v>610.81355109044614</v>
      </c>
      <c r="U315">
        <v>394.50456499311781</v>
      </c>
      <c r="V315">
        <v>135.13574139169171</v>
      </c>
      <c r="W315">
        <v>2.919320684005013</v>
      </c>
      <c r="X315" t="s">
        <v>57</v>
      </c>
      <c r="Z315">
        <v>515.64400000000001</v>
      </c>
      <c r="AA315">
        <v>95.163399999999996</v>
      </c>
      <c r="AB315">
        <v>65.006200000000007</v>
      </c>
      <c r="AC315">
        <v>15.4290506097561</v>
      </c>
      <c r="AE315">
        <v>95.163399999999996</v>
      </c>
      <c r="AF315" t="s">
        <v>62</v>
      </c>
      <c r="AG315" t="b">
        <v>0</v>
      </c>
      <c r="AH315">
        <v>6.1678065881659796</v>
      </c>
      <c r="AI315">
        <v>512.33399999999995</v>
      </c>
      <c r="AJ315">
        <v>91.310100000000006</v>
      </c>
      <c r="AK315">
        <v>64.811499999999995</v>
      </c>
      <c r="AL315">
        <v>15.00553692822611</v>
      </c>
      <c r="AN315">
        <v>91.310100000000006</v>
      </c>
      <c r="AO315" t="s">
        <v>62</v>
      </c>
      <c r="AP315" t="b">
        <v>0</v>
      </c>
      <c r="AQ315">
        <v>6.0850938181519849</v>
      </c>
      <c r="AR315">
        <v>515.64400000000001</v>
      </c>
      <c r="AS315">
        <v>95.163399999999996</v>
      </c>
      <c r="AT315">
        <v>6.1678065881659796</v>
      </c>
      <c r="AU315" s="5">
        <v>71.087059799999992</v>
      </c>
      <c r="AV315" s="5">
        <v>101.53934779999999</v>
      </c>
      <c r="AW315" s="5">
        <v>4.6073515213599867</v>
      </c>
      <c r="AX315" s="5">
        <v>6.5810496295730996</v>
      </c>
      <c r="AY315" t="s">
        <v>64</v>
      </c>
      <c r="AZ315" t="s">
        <v>11</v>
      </c>
      <c r="BA315" s="23">
        <f t="shared" si="4"/>
        <v>3.9331795798790752E-2</v>
      </c>
      <c r="BB315" s="23">
        <f>IF(AND(ISNUMBER(H315),Metadata!$H$5&gt;Metadata!$G$5),MAX(Metadata!$G$5-H315,0,H315-Metadata!$H$5)/(Metadata!$H$5-Metadata!$G$5),"Missing input")</f>
        <v>0</v>
      </c>
      <c r="BC315" s="23">
        <f>IF(AND(ISNUMBER(L315),Metadata!$H$8&gt;Metadata!$G$8),MAX(Metadata!$G$8-L315,0,L315-Metadata!$H$8)/(Metadata!$H$8-Metadata!$G$8),"Missing input")</f>
        <v>3.9331795798790752E-2</v>
      </c>
    </row>
    <row r="316" spans="1:55" x14ac:dyDescent="0.2">
      <c r="A316" t="s">
        <v>395</v>
      </c>
      <c r="B316" t="s">
        <v>381</v>
      </c>
      <c r="C316" t="s">
        <v>84</v>
      </c>
      <c r="D316" t="s">
        <v>55</v>
      </c>
      <c r="E316" t="s">
        <v>56</v>
      </c>
      <c r="F316">
        <v>15</v>
      </c>
      <c r="G316">
        <v>27.308053040943211</v>
      </c>
      <c r="H316">
        <v>5.2772178758296739</v>
      </c>
      <c r="I316">
        <v>1.57</v>
      </c>
      <c r="J316">
        <v>1.5</v>
      </c>
      <c r="K316">
        <v>0.54</v>
      </c>
      <c r="L316">
        <v>0.05</v>
      </c>
      <c r="M316">
        <v>8</v>
      </c>
      <c r="N316">
        <v>125</v>
      </c>
      <c r="Q316">
        <v>0.53616514621265798</v>
      </c>
      <c r="R316">
        <v>386052.96198531118</v>
      </c>
      <c r="S316">
        <v>-2.5321273333555592E-3</v>
      </c>
      <c r="T316">
        <v>428.52672237905682</v>
      </c>
      <c r="U316">
        <v>347.90390616620681</v>
      </c>
      <c r="V316">
        <v>94.806796986516986</v>
      </c>
      <c r="W316">
        <v>3.6696093236404161</v>
      </c>
      <c r="X316" t="s">
        <v>57</v>
      </c>
      <c r="Z316">
        <v>375.64100000000002</v>
      </c>
      <c r="AA316">
        <v>95.163399999999996</v>
      </c>
      <c r="AB316">
        <v>51.296399999999998</v>
      </c>
      <c r="AC316">
        <v>16.560872486910991</v>
      </c>
      <c r="AD316">
        <v>65.36331230974632</v>
      </c>
      <c r="AE316">
        <v>65.36331230974632</v>
      </c>
      <c r="AF316" t="s">
        <v>58</v>
      </c>
      <c r="AG316" t="b">
        <v>1</v>
      </c>
      <c r="AH316">
        <v>3.946851976633881</v>
      </c>
      <c r="AI316">
        <v>372.96899999999999</v>
      </c>
      <c r="AJ316">
        <v>91.310100000000006</v>
      </c>
      <c r="AK316">
        <v>32.289299999999997</v>
      </c>
      <c r="AL316">
        <v>16.05187423510467</v>
      </c>
      <c r="AM316">
        <v>64.87476550888212</v>
      </c>
      <c r="AN316">
        <v>64.87476550888212</v>
      </c>
      <c r="AO316" t="s">
        <v>58</v>
      </c>
      <c r="AP316" t="b">
        <v>1</v>
      </c>
      <c r="AQ316">
        <v>4.0415695113661032</v>
      </c>
      <c r="AR316">
        <v>375.64100000000002</v>
      </c>
      <c r="AS316">
        <v>65.36331230974632</v>
      </c>
      <c r="AT316">
        <v>4.0415695113661032</v>
      </c>
      <c r="AU316" s="5">
        <v>48.826394295380503</v>
      </c>
      <c r="AV316" s="5">
        <v>69.742654234499327</v>
      </c>
      <c r="AW316" s="5">
        <v>3.0190524249904791</v>
      </c>
      <c r="AX316" s="5">
        <v>4.3123546686276315</v>
      </c>
      <c r="AY316" t="s">
        <v>64</v>
      </c>
      <c r="AZ316" t="s">
        <v>11</v>
      </c>
      <c r="BA316" s="23">
        <f t="shared" si="4"/>
        <v>3.9331795798790752E-2</v>
      </c>
      <c r="BB316" s="23">
        <f>IF(AND(ISNUMBER(H316),Metadata!$H$5&gt;Metadata!$G$5),MAX(Metadata!$G$5-H316,0,H316-Metadata!$H$5)/(Metadata!$H$5-Metadata!$G$5),"Missing input")</f>
        <v>0</v>
      </c>
      <c r="BC316" s="23">
        <f>IF(AND(ISNUMBER(L316),Metadata!$H$8&gt;Metadata!$G$8),MAX(Metadata!$G$8-L316,0,L316-Metadata!$H$8)/(Metadata!$H$8-Metadata!$G$8),"Missing input")</f>
        <v>3.9331795798790752E-2</v>
      </c>
    </row>
    <row r="317" spans="1:55" x14ac:dyDescent="0.2">
      <c r="A317" t="s">
        <v>396</v>
      </c>
      <c r="B317" t="s">
        <v>381</v>
      </c>
      <c r="C317" t="s">
        <v>84</v>
      </c>
      <c r="D317" t="s">
        <v>55</v>
      </c>
      <c r="E317" t="s">
        <v>56</v>
      </c>
      <c r="F317">
        <v>16</v>
      </c>
      <c r="G317">
        <v>31.1252119640606</v>
      </c>
      <c r="H317">
        <v>39.5069074866867</v>
      </c>
      <c r="I317">
        <v>1.57</v>
      </c>
      <c r="J317">
        <v>1.5</v>
      </c>
      <c r="K317">
        <v>0.54</v>
      </c>
      <c r="L317">
        <v>0.05</v>
      </c>
      <c r="M317">
        <v>8</v>
      </c>
      <c r="N317">
        <v>125</v>
      </c>
      <c r="Q317">
        <v>0.53616514621265798</v>
      </c>
      <c r="R317">
        <v>3642703.933702969</v>
      </c>
      <c r="S317">
        <v>-5.3078648037653726E-3</v>
      </c>
      <c r="T317">
        <v>1657.5346780090949</v>
      </c>
      <c r="U317">
        <v>365.50492061322012</v>
      </c>
      <c r="V317">
        <v>366.71121194891492</v>
      </c>
      <c r="W317">
        <v>0.9967105141692183</v>
      </c>
      <c r="X317" t="s">
        <v>87</v>
      </c>
      <c r="Z317">
        <v>711.00800000000004</v>
      </c>
      <c r="AA317">
        <v>95.163399999999996</v>
      </c>
      <c r="AB317">
        <v>30.757200000000001</v>
      </c>
      <c r="AC317">
        <v>13.865232481635269</v>
      </c>
      <c r="AD317">
        <v>33.703470310378748</v>
      </c>
      <c r="AE317">
        <v>33.703470310378748</v>
      </c>
      <c r="AF317" t="s">
        <v>58</v>
      </c>
      <c r="AG317" t="b">
        <v>1</v>
      </c>
      <c r="AH317">
        <v>2.430790133163621</v>
      </c>
      <c r="AI317">
        <v>715.97900000000004</v>
      </c>
      <c r="AJ317">
        <v>91.310100000000006</v>
      </c>
      <c r="AK317">
        <v>31.431899999999999</v>
      </c>
      <c r="AL317">
        <v>13.416002774813229</v>
      </c>
      <c r="AM317">
        <v>32.972460899545872</v>
      </c>
      <c r="AN317">
        <v>32.972460899545872</v>
      </c>
      <c r="AO317" t="s">
        <v>58</v>
      </c>
      <c r="AP317" t="b">
        <v>1</v>
      </c>
      <c r="AQ317">
        <v>2.4576963386924229</v>
      </c>
      <c r="AR317">
        <v>715.97900000000004</v>
      </c>
      <c r="AS317">
        <v>33.703470310378748</v>
      </c>
      <c r="AT317">
        <v>2.4576963386924229</v>
      </c>
      <c r="AU317" s="5" t="s">
        <v>88</v>
      </c>
      <c r="AV317" s="5" t="s">
        <v>88</v>
      </c>
      <c r="AW317" s="5" t="s">
        <v>88</v>
      </c>
      <c r="AX317" s="5" t="s">
        <v>88</v>
      </c>
      <c r="AY317" t="s">
        <v>64</v>
      </c>
      <c r="AZ317" t="s">
        <v>11</v>
      </c>
      <c r="BA317" s="23">
        <f t="shared" si="4"/>
        <v>3.9331795798790752E-2</v>
      </c>
      <c r="BB317" s="23">
        <f>IF(AND(ISNUMBER(H317),Metadata!$H$5&gt;Metadata!$G$5),MAX(Metadata!$G$5-H317,0,H317-Metadata!$H$5)/(Metadata!$H$5-Metadata!$G$5),"Missing input")</f>
        <v>0</v>
      </c>
      <c r="BC317" s="23">
        <f>IF(AND(ISNUMBER(L317),Metadata!$H$8&gt;Metadata!$G$8),MAX(Metadata!$G$8-L317,0,L317-Metadata!$H$8)/(Metadata!$H$8-Metadata!$G$8),"Missing input")</f>
        <v>3.9331795798790752E-2</v>
      </c>
    </row>
    <row r="318" spans="1:55" x14ac:dyDescent="0.2">
      <c r="A318" t="s">
        <v>397</v>
      </c>
      <c r="B318" t="s">
        <v>381</v>
      </c>
      <c r="C318" t="s">
        <v>84</v>
      </c>
      <c r="D318" t="s">
        <v>55</v>
      </c>
      <c r="E318" t="s">
        <v>56</v>
      </c>
      <c r="F318">
        <v>17</v>
      </c>
      <c r="G318">
        <v>46.390186033042063</v>
      </c>
      <c r="H318">
        <v>16.21387510983789</v>
      </c>
      <c r="I318">
        <v>1.57</v>
      </c>
      <c r="J318">
        <v>1.5</v>
      </c>
      <c r="K318">
        <v>0.54</v>
      </c>
      <c r="L318">
        <v>0.05</v>
      </c>
      <c r="M318">
        <v>8</v>
      </c>
      <c r="N318">
        <v>125</v>
      </c>
      <c r="Q318">
        <v>0.53616514621265798</v>
      </c>
      <c r="R318">
        <v>2210215.3729856689</v>
      </c>
      <c r="S318">
        <v>-3.9468293738132033E-3</v>
      </c>
      <c r="T318">
        <v>992.19235058261199</v>
      </c>
      <c r="U318">
        <v>426.88594866080939</v>
      </c>
      <c r="V318">
        <v>219.5115819873036</v>
      </c>
      <c r="W318">
        <v>1.9447080869086</v>
      </c>
      <c r="X318" t="s">
        <v>57</v>
      </c>
      <c r="Z318">
        <v>707.76099999999997</v>
      </c>
      <c r="AA318">
        <v>95.091899999999995</v>
      </c>
      <c r="AB318">
        <v>44.910200000000003</v>
      </c>
      <c r="AC318">
        <v>14.87777606088561</v>
      </c>
      <c r="AD318">
        <v>77.787745541326515</v>
      </c>
      <c r="AE318">
        <v>77.787745541326515</v>
      </c>
      <c r="AF318" t="s">
        <v>58</v>
      </c>
      <c r="AG318" t="b">
        <v>1</v>
      </c>
      <c r="AH318">
        <v>5.2284525068121077</v>
      </c>
      <c r="AI318">
        <v>700.97299999999996</v>
      </c>
      <c r="AJ318">
        <v>91.381599999999992</v>
      </c>
      <c r="AK318">
        <v>39.358900000000013</v>
      </c>
      <c r="AL318">
        <v>14.352824329146451</v>
      </c>
      <c r="AM318">
        <v>78.557227288310543</v>
      </c>
      <c r="AN318">
        <v>78.557227288310543</v>
      </c>
      <c r="AO318" t="s">
        <v>58</v>
      </c>
      <c r="AP318" t="b">
        <v>1</v>
      </c>
      <c r="AQ318">
        <v>5.4732940003162636</v>
      </c>
      <c r="AR318">
        <v>707.76099999999997</v>
      </c>
      <c r="AS318">
        <v>78.557227288310543</v>
      </c>
      <c r="AT318">
        <v>5.4732940003162636</v>
      </c>
      <c r="AU318" s="5">
        <v>58.682248784367978</v>
      </c>
      <c r="AV318" s="5">
        <v>83.82056151662735</v>
      </c>
      <c r="AW318" s="5">
        <v>4.0885506182362485</v>
      </c>
      <c r="AX318" s="5">
        <v>5.8400046983374532</v>
      </c>
      <c r="AY318" t="s">
        <v>64</v>
      </c>
      <c r="AZ318" t="s">
        <v>11</v>
      </c>
      <c r="BA318" s="23">
        <f t="shared" si="4"/>
        <v>3.9331795798790752E-2</v>
      </c>
      <c r="BB318" s="23">
        <f>IF(AND(ISNUMBER(H318),Metadata!$H$5&gt;Metadata!$G$5),MAX(Metadata!$G$5-H318,0,H318-Metadata!$H$5)/(Metadata!$H$5-Metadata!$G$5),"Missing input")</f>
        <v>0</v>
      </c>
      <c r="BC318" s="23">
        <f>IF(AND(ISNUMBER(L318),Metadata!$H$8&gt;Metadata!$G$8),MAX(Metadata!$G$8-L318,0,L318-Metadata!$H$8)/(Metadata!$H$8-Metadata!$G$8),"Missing input")</f>
        <v>3.9331795798790752E-2</v>
      </c>
    </row>
    <row r="319" spans="1:55" x14ac:dyDescent="0.2">
      <c r="A319" t="s">
        <v>398</v>
      </c>
      <c r="B319" t="s">
        <v>381</v>
      </c>
      <c r="C319" t="s">
        <v>84</v>
      </c>
      <c r="D319" t="s">
        <v>55</v>
      </c>
      <c r="E319" t="s">
        <v>56</v>
      </c>
      <c r="F319">
        <v>18</v>
      </c>
      <c r="G319">
        <v>54.165408264435399</v>
      </c>
      <c r="H319">
        <v>18.25275816413232</v>
      </c>
      <c r="I319">
        <v>1.57</v>
      </c>
      <c r="J319">
        <v>1.5</v>
      </c>
      <c r="K319">
        <v>0.54</v>
      </c>
      <c r="L319">
        <v>0.05</v>
      </c>
      <c r="M319">
        <v>8</v>
      </c>
      <c r="N319">
        <v>125</v>
      </c>
      <c r="Q319">
        <v>0.53616514621265798</v>
      </c>
      <c r="R319">
        <v>2919725.6187367002</v>
      </c>
      <c r="S319">
        <v>-4.1910658440562458E-3</v>
      </c>
      <c r="T319">
        <v>1250.244632367107</v>
      </c>
      <c r="U319">
        <v>454.22166711882102</v>
      </c>
      <c r="V319">
        <v>276.6027947714839</v>
      </c>
      <c r="W319">
        <v>1.642144171009108</v>
      </c>
      <c r="X319" t="s">
        <v>57</v>
      </c>
      <c r="Z319">
        <v>835.01400000000001</v>
      </c>
      <c r="AA319">
        <v>95.163399999999996</v>
      </c>
      <c r="AB319">
        <v>51.296399999999998</v>
      </c>
      <c r="AC319">
        <v>14.962166917173009</v>
      </c>
      <c r="AD319">
        <v>70.337877441722242</v>
      </c>
      <c r="AE319">
        <v>70.337877441722242</v>
      </c>
      <c r="AF319" t="s">
        <v>58</v>
      </c>
      <c r="AG319" t="b">
        <v>1</v>
      </c>
      <c r="AH319">
        <v>4.7010488407926454</v>
      </c>
      <c r="AI319">
        <v>830.74699999999996</v>
      </c>
      <c r="AJ319">
        <v>91.310100000000006</v>
      </c>
      <c r="AK319">
        <v>51.757599999999996</v>
      </c>
      <c r="AL319">
        <v>14.69248669667417</v>
      </c>
      <c r="AM319">
        <v>70.349289325995016</v>
      </c>
      <c r="AN319">
        <v>70.349289325995016</v>
      </c>
      <c r="AO319" t="s">
        <v>58</v>
      </c>
      <c r="AP319" t="b">
        <v>1</v>
      </c>
      <c r="AQ319">
        <v>4.7881131886217387</v>
      </c>
      <c r="AR319">
        <v>835.01400000000001</v>
      </c>
      <c r="AS319">
        <v>70.349289325995016</v>
      </c>
      <c r="AT319">
        <v>4.7881131886217387</v>
      </c>
      <c r="AU319" s="5">
        <v>52.550919126518281</v>
      </c>
      <c r="AV319" s="5">
        <v>75.062691710836674</v>
      </c>
      <c r="AW319" s="5">
        <v>3.576720551900439</v>
      </c>
      <c r="AX319" s="5">
        <v>5.1089167722593949</v>
      </c>
      <c r="AY319" t="s">
        <v>64</v>
      </c>
      <c r="AZ319" t="s">
        <v>11</v>
      </c>
      <c r="BA319" s="23">
        <f t="shared" si="4"/>
        <v>3.9331795798790752E-2</v>
      </c>
      <c r="BB319" s="23">
        <f>IF(AND(ISNUMBER(H319),Metadata!$H$5&gt;Metadata!$G$5),MAX(Metadata!$G$5-H319,0,H319-Metadata!$H$5)/(Metadata!$H$5-Metadata!$G$5),"Missing input")</f>
        <v>0</v>
      </c>
      <c r="BC319" s="23">
        <f>IF(AND(ISNUMBER(L319),Metadata!$H$8&gt;Metadata!$G$8),MAX(Metadata!$G$8-L319,0,L319-Metadata!$H$8)/(Metadata!$H$8-Metadata!$G$8),"Missing input")</f>
        <v>3.9331795798790752E-2</v>
      </c>
    </row>
    <row r="320" spans="1:55" x14ac:dyDescent="0.2">
      <c r="A320" t="s">
        <v>399</v>
      </c>
      <c r="B320" t="s">
        <v>381</v>
      </c>
      <c r="C320" t="s">
        <v>84</v>
      </c>
      <c r="D320" t="s">
        <v>55</v>
      </c>
      <c r="E320" t="s">
        <v>56</v>
      </c>
      <c r="F320">
        <v>19</v>
      </c>
      <c r="G320">
        <v>21.707483118551171</v>
      </c>
      <c r="H320">
        <v>43.497365085878002</v>
      </c>
      <c r="I320">
        <v>1.57</v>
      </c>
      <c r="J320">
        <v>1.5</v>
      </c>
      <c r="K320">
        <v>0.54</v>
      </c>
      <c r="L320">
        <v>0.05</v>
      </c>
      <c r="M320">
        <v>8</v>
      </c>
      <c r="N320">
        <v>125</v>
      </c>
      <c r="Q320">
        <v>0.53616514621265798</v>
      </c>
      <c r="R320">
        <v>2786376.2799094608</v>
      </c>
      <c r="S320">
        <v>-5.2504792026729086E-3</v>
      </c>
      <c r="T320">
        <v>1327.844178866673</v>
      </c>
      <c r="U320">
        <v>319.67636247252739</v>
      </c>
      <c r="V320">
        <v>293.77083603244972</v>
      </c>
      <c r="W320">
        <v>1.0881827712714689</v>
      </c>
      <c r="X320" t="s">
        <v>87</v>
      </c>
      <c r="Z320">
        <v>563.98900000000003</v>
      </c>
      <c r="AA320">
        <v>95.163399999999996</v>
      </c>
      <c r="AB320">
        <v>29.246099999999998</v>
      </c>
      <c r="AC320">
        <v>13.748455159198111</v>
      </c>
      <c r="AD320">
        <v>32.127920040077193</v>
      </c>
      <c r="AE320">
        <v>32.127920040077193</v>
      </c>
      <c r="AF320" t="s">
        <v>58</v>
      </c>
      <c r="AG320" t="b">
        <v>1</v>
      </c>
      <c r="AH320">
        <v>2.3368385515359291</v>
      </c>
      <c r="AI320">
        <v>569.08299999999997</v>
      </c>
      <c r="AJ320">
        <v>91.310100000000006</v>
      </c>
      <c r="AK320">
        <v>29.9315</v>
      </c>
      <c r="AL320">
        <v>13.255731178451169</v>
      </c>
      <c r="AM320">
        <v>32.2921893963683</v>
      </c>
      <c r="AN320">
        <v>32.2921893963683</v>
      </c>
      <c r="AO320" t="s">
        <v>58</v>
      </c>
      <c r="AP320" t="b">
        <v>1</v>
      </c>
      <c r="AQ320">
        <v>2.4360926577074249</v>
      </c>
      <c r="AR320">
        <v>569.08299999999997</v>
      </c>
      <c r="AS320">
        <v>32.2921893963683</v>
      </c>
      <c r="AT320">
        <v>2.4360926577074249</v>
      </c>
      <c r="AU320" s="5" t="s">
        <v>88</v>
      </c>
      <c r="AV320" s="5" t="s">
        <v>88</v>
      </c>
      <c r="AW320" s="5" t="s">
        <v>88</v>
      </c>
      <c r="AX320" s="5" t="s">
        <v>88</v>
      </c>
      <c r="AY320" t="s">
        <v>64</v>
      </c>
      <c r="AZ320" t="s">
        <v>194</v>
      </c>
      <c r="BA320" s="23">
        <f t="shared" si="4"/>
        <v>9.4596678167087334E-2</v>
      </c>
      <c r="BB320" s="23">
        <f>IF(AND(ISNUMBER(H320),Metadata!$H$5&gt;Metadata!$G$5),MAX(Metadata!$G$5-H320,0,H320-Metadata!$H$5)/(Metadata!$H$5-Metadata!$G$5),"Missing input")</f>
        <v>9.4596678167087334E-2</v>
      </c>
      <c r="BC320" s="23">
        <f>IF(AND(ISNUMBER(L320),Metadata!$H$8&gt;Metadata!$G$8),MAX(Metadata!$G$8-L320,0,L320-Metadata!$H$8)/(Metadata!$H$8-Metadata!$G$8),"Missing input")</f>
        <v>3.9331795798790752E-2</v>
      </c>
    </row>
    <row r="321" spans="1:55" x14ac:dyDescent="0.2">
      <c r="A321" t="s">
        <v>400</v>
      </c>
      <c r="B321" t="s">
        <v>381</v>
      </c>
      <c r="C321" t="s">
        <v>84</v>
      </c>
      <c r="D321" t="s">
        <v>55</v>
      </c>
      <c r="E321" t="s">
        <v>56</v>
      </c>
      <c r="F321">
        <v>20</v>
      </c>
      <c r="G321">
        <v>53.035991243371583</v>
      </c>
      <c r="H321">
        <v>30.34654288470276</v>
      </c>
      <c r="I321">
        <v>1.57</v>
      </c>
      <c r="J321">
        <v>1.5</v>
      </c>
      <c r="K321">
        <v>0.54</v>
      </c>
      <c r="L321">
        <v>0.05</v>
      </c>
      <c r="M321">
        <v>8</v>
      </c>
      <c r="N321">
        <v>125</v>
      </c>
      <c r="Q321">
        <v>0.53616514621265798</v>
      </c>
      <c r="R321">
        <v>4782098.2730990862</v>
      </c>
      <c r="S321">
        <v>-5.1593859652617974E-3</v>
      </c>
      <c r="T321">
        <v>2064.392118408005</v>
      </c>
      <c r="U321">
        <v>450.37879769466292</v>
      </c>
      <c r="V321">
        <v>456.72392000177121</v>
      </c>
      <c r="W321">
        <v>0.98610731334788915</v>
      </c>
      <c r="X321" t="s">
        <v>87</v>
      </c>
      <c r="Z321">
        <v>1006.7</v>
      </c>
      <c r="AA321">
        <v>95.163399999999996</v>
      </c>
      <c r="AB321">
        <v>37.809100000000001</v>
      </c>
      <c r="AC321">
        <v>15.058006469689261</v>
      </c>
      <c r="AD321">
        <v>42.623503084668187</v>
      </c>
      <c r="AE321">
        <v>42.623503084668187</v>
      </c>
      <c r="AF321" t="s">
        <v>58</v>
      </c>
      <c r="AG321" t="b">
        <v>1</v>
      </c>
      <c r="AH321">
        <v>2.830620585166197</v>
      </c>
      <c r="AI321">
        <v>1004.11</v>
      </c>
      <c r="AJ321">
        <v>91.310100000000006</v>
      </c>
      <c r="AK321">
        <v>37.527799999999999</v>
      </c>
      <c r="AL321">
        <v>14.602123704931619</v>
      </c>
      <c r="AM321">
        <v>40.884636096262533</v>
      </c>
      <c r="AN321">
        <v>40.884636096262533</v>
      </c>
      <c r="AO321" t="s">
        <v>58</v>
      </c>
      <c r="AP321" t="b">
        <v>1</v>
      </c>
      <c r="AQ321">
        <v>2.799910268014949</v>
      </c>
      <c r="AR321">
        <v>1006.7</v>
      </c>
      <c r="AS321">
        <v>42.623503084668187</v>
      </c>
      <c r="AT321">
        <v>2.830620585166197</v>
      </c>
      <c r="AU321" s="5" t="s">
        <v>88</v>
      </c>
      <c r="AV321" s="5" t="s">
        <v>88</v>
      </c>
      <c r="AW321" s="5" t="s">
        <v>88</v>
      </c>
      <c r="AX321" s="5" t="s">
        <v>88</v>
      </c>
      <c r="AY321" t="s">
        <v>64</v>
      </c>
      <c r="AZ321" t="s">
        <v>11</v>
      </c>
      <c r="BA321" s="23">
        <f t="shared" si="4"/>
        <v>3.9331795798790752E-2</v>
      </c>
      <c r="BB321" s="23">
        <f>IF(AND(ISNUMBER(H321),Metadata!$H$5&gt;Metadata!$G$5),MAX(Metadata!$G$5-H321,0,H321-Metadata!$H$5)/(Metadata!$H$5-Metadata!$G$5),"Missing input")</f>
        <v>0</v>
      </c>
      <c r="BC321" s="23">
        <f>IF(AND(ISNUMBER(L321),Metadata!$H$8&gt;Metadata!$G$8),MAX(Metadata!$G$8-L321,0,L321-Metadata!$H$8)/(Metadata!$H$8-Metadata!$G$8),"Missing input")</f>
        <v>3.9331795798790752E-2</v>
      </c>
    </row>
    <row r="322" spans="1:55" x14ac:dyDescent="0.2">
      <c r="A322" t="s">
        <v>401</v>
      </c>
      <c r="B322" t="s">
        <v>402</v>
      </c>
      <c r="C322" t="s">
        <v>84</v>
      </c>
      <c r="D322" t="s">
        <v>55</v>
      </c>
      <c r="E322" t="s">
        <v>56</v>
      </c>
      <c r="F322">
        <v>1</v>
      </c>
      <c r="G322">
        <v>22.11413992487228</v>
      </c>
      <c r="H322">
        <v>28.832065765515338</v>
      </c>
      <c r="I322">
        <v>1.57</v>
      </c>
      <c r="J322">
        <v>1.5</v>
      </c>
      <c r="K322">
        <v>0.7</v>
      </c>
      <c r="L322">
        <v>0.05</v>
      </c>
      <c r="M322">
        <v>10</v>
      </c>
      <c r="N322">
        <v>150</v>
      </c>
      <c r="Q322">
        <v>0.69813170079773179</v>
      </c>
      <c r="R322">
        <v>1866510.334985178</v>
      </c>
      <c r="S322">
        <v>-5.2935992825633672E-3</v>
      </c>
      <c r="T322">
        <v>931.93139645531812</v>
      </c>
      <c r="U322">
        <v>321.84049569621862</v>
      </c>
      <c r="V322">
        <v>206.1795124901146</v>
      </c>
      <c r="W322">
        <v>1.5609722411757541</v>
      </c>
      <c r="X322" t="s">
        <v>57</v>
      </c>
      <c r="Z322">
        <v>546.93100000000004</v>
      </c>
      <c r="AA322">
        <v>95.163399999999996</v>
      </c>
      <c r="AB322">
        <v>37.809100000000001</v>
      </c>
      <c r="AC322">
        <v>15.99090527144935</v>
      </c>
      <c r="AD322">
        <v>48.195216735273227</v>
      </c>
      <c r="AE322">
        <v>48.195216735273227</v>
      </c>
      <c r="AF322" t="s">
        <v>58</v>
      </c>
      <c r="AG322" t="b">
        <v>1</v>
      </c>
      <c r="AH322">
        <v>3.013914216684308</v>
      </c>
      <c r="AI322">
        <v>547.25</v>
      </c>
      <c r="AJ322">
        <v>91.310100000000006</v>
      </c>
      <c r="AK322">
        <v>39.358900000000013</v>
      </c>
      <c r="AL322">
        <v>15.78041048578199</v>
      </c>
      <c r="AM322">
        <v>48.252421785209613</v>
      </c>
      <c r="AN322">
        <v>48.252421785209613</v>
      </c>
      <c r="AO322" t="s">
        <v>58</v>
      </c>
      <c r="AP322" t="b">
        <v>1</v>
      </c>
      <c r="AQ322">
        <v>3.0577418647432908</v>
      </c>
      <c r="AR322">
        <v>547.25</v>
      </c>
      <c r="AS322">
        <v>48.252421785209613</v>
      </c>
      <c r="AT322">
        <v>3.0577418647432908</v>
      </c>
      <c r="AU322" s="5">
        <v>36.044559073551582</v>
      </c>
      <c r="AV322" s="5">
        <v>51.485334044818657</v>
      </c>
      <c r="AW322" s="5">
        <v>2.2841331729632381</v>
      </c>
      <c r="AX322" s="5">
        <v>3.2626105696810912</v>
      </c>
      <c r="AY322" t="s">
        <v>64</v>
      </c>
      <c r="AZ322" t="s">
        <v>11</v>
      </c>
      <c r="BA322" s="23">
        <f t="shared" ref="BA322:BA385" si="5">IF(COUNT(BB322:BC322)=2,MAX(BB322:BC322),"Missing input")</f>
        <v>3.9331795798790752E-2</v>
      </c>
      <c r="BB322" s="23">
        <f>IF(AND(ISNUMBER(H322),Metadata!$H$5&gt;Metadata!$G$5),MAX(Metadata!$G$5-H322,0,H322-Metadata!$H$5)/(Metadata!$H$5-Metadata!$G$5),"Missing input")</f>
        <v>0</v>
      </c>
      <c r="BC322" s="23">
        <f>IF(AND(ISNUMBER(L322),Metadata!$H$8&gt;Metadata!$G$8),MAX(Metadata!$G$8-L322,0,L322-Metadata!$H$8)/(Metadata!$H$8-Metadata!$G$8),"Missing input")</f>
        <v>3.9331795798790752E-2</v>
      </c>
    </row>
    <row r="323" spans="1:55" x14ac:dyDescent="0.2">
      <c r="A323" t="s">
        <v>403</v>
      </c>
      <c r="B323" t="s">
        <v>402</v>
      </c>
      <c r="C323" t="s">
        <v>84</v>
      </c>
      <c r="D323" t="s">
        <v>55</v>
      </c>
      <c r="E323" t="s">
        <v>56</v>
      </c>
      <c r="F323">
        <v>2</v>
      </c>
      <c r="G323">
        <v>39.289372610104301</v>
      </c>
      <c r="H323">
        <v>11.43599740060767</v>
      </c>
      <c r="I323">
        <v>1.57</v>
      </c>
      <c r="J323">
        <v>1.5</v>
      </c>
      <c r="K323">
        <v>0.7</v>
      </c>
      <c r="L323">
        <v>0.05</v>
      </c>
      <c r="M323">
        <v>10</v>
      </c>
      <c r="N323">
        <v>150</v>
      </c>
      <c r="Q323">
        <v>0.69813170079773179</v>
      </c>
      <c r="R323">
        <v>1301660.814121977</v>
      </c>
      <c r="S323">
        <v>-3.4698728909888562E-3</v>
      </c>
      <c r="T323">
        <v>682.24591859950192</v>
      </c>
      <c r="U323">
        <v>399.83772025420927</v>
      </c>
      <c r="V323">
        <v>150.93936252201371</v>
      </c>
      <c r="W323">
        <v>2.648995686568473</v>
      </c>
      <c r="X323" t="s">
        <v>57</v>
      </c>
      <c r="Z323">
        <v>554.65200000000004</v>
      </c>
      <c r="AA323">
        <v>95.163399999999996</v>
      </c>
      <c r="AB323">
        <v>64.143599999999992</v>
      </c>
      <c r="AC323">
        <v>15.371976880103141</v>
      </c>
      <c r="AE323">
        <v>95.163399999999996</v>
      </c>
      <c r="AF323" t="s">
        <v>62</v>
      </c>
      <c r="AG323" t="b">
        <v>0</v>
      </c>
      <c r="AH323">
        <v>6.1907066828324213</v>
      </c>
      <c r="AI323">
        <v>551.45000000000005</v>
      </c>
      <c r="AJ323">
        <v>91.310100000000006</v>
      </c>
      <c r="AK323">
        <v>63.951800000000013</v>
      </c>
      <c r="AL323">
        <v>14.92899276450512</v>
      </c>
      <c r="AN323">
        <v>91.310100000000006</v>
      </c>
      <c r="AO323" t="s">
        <v>62</v>
      </c>
      <c r="AP323" t="b">
        <v>0</v>
      </c>
      <c r="AQ323">
        <v>6.1162934057478484</v>
      </c>
      <c r="AR323">
        <v>554.65200000000004</v>
      </c>
      <c r="AS323">
        <v>95.163399999999996</v>
      </c>
      <c r="AT323">
        <v>6.1907066828324213</v>
      </c>
      <c r="AU323" s="5">
        <v>71.087059799999992</v>
      </c>
      <c r="AV323" s="5">
        <v>101.53934779999999</v>
      </c>
      <c r="AW323" s="5">
        <v>4.624457892075819</v>
      </c>
      <c r="AX323" s="5">
        <v>6.6054840305821934</v>
      </c>
      <c r="AY323" t="s">
        <v>64</v>
      </c>
      <c r="AZ323" t="s">
        <v>11</v>
      </c>
      <c r="BA323" s="23">
        <f t="shared" si="5"/>
        <v>3.9331795798790752E-2</v>
      </c>
      <c r="BB323" s="23">
        <f>IF(AND(ISNUMBER(H323),Metadata!$H$5&gt;Metadata!$G$5),MAX(Metadata!$G$5-H323,0,H323-Metadata!$H$5)/(Metadata!$H$5-Metadata!$G$5),"Missing input")</f>
        <v>0</v>
      </c>
      <c r="BC323" s="23">
        <f>IF(AND(ISNUMBER(L323),Metadata!$H$8&gt;Metadata!$G$8),MAX(Metadata!$G$8-L323,0,L323-Metadata!$H$8)/(Metadata!$H$8-Metadata!$G$8),"Missing input")</f>
        <v>3.9331795798790752E-2</v>
      </c>
    </row>
    <row r="324" spans="1:55" x14ac:dyDescent="0.2">
      <c r="A324" t="s">
        <v>404</v>
      </c>
      <c r="B324" t="s">
        <v>402</v>
      </c>
      <c r="C324" t="s">
        <v>84</v>
      </c>
      <c r="D324" t="s">
        <v>55</v>
      </c>
      <c r="E324" t="s">
        <v>56</v>
      </c>
      <c r="F324">
        <v>3</v>
      </c>
      <c r="G324">
        <v>50.720967279676117</v>
      </c>
      <c r="H324">
        <v>41.572102032205443</v>
      </c>
      <c r="I324">
        <v>1.57</v>
      </c>
      <c r="J324">
        <v>1.5</v>
      </c>
      <c r="K324">
        <v>0.7</v>
      </c>
      <c r="L324">
        <v>0.05</v>
      </c>
      <c r="M324">
        <v>10</v>
      </c>
      <c r="N324">
        <v>150</v>
      </c>
      <c r="Q324">
        <v>0.69813170079773179</v>
      </c>
      <c r="R324">
        <v>6279453.0057685468</v>
      </c>
      <c r="S324">
        <v>-5.4910932036329888E-3</v>
      </c>
      <c r="T324">
        <v>2795.5189136654449</v>
      </c>
      <c r="U324">
        <v>442.37180548346367</v>
      </c>
      <c r="V324">
        <v>618.47763576669149</v>
      </c>
      <c r="W324">
        <v>0.71525917818367124</v>
      </c>
      <c r="X324" t="s">
        <v>87</v>
      </c>
      <c r="Z324">
        <v>1028.47</v>
      </c>
      <c r="AA324">
        <v>95.163399999999996</v>
      </c>
      <c r="AB324">
        <v>29.7498</v>
      </c>
      <c r="AC324">
        <v>14.04497410714286</v>
      </c>
      <c r="AD324">
        <v>31.61521417254151</v>
      </c>
      <c r="AE324">
        <v>31.61521417254151</v>
      </c>
      <c r="AF324" t="s">
        <v>58</v>
      </c>
      <c r="AG324" t="b">
        <v>1</v>
      </c>
      <c r="AH324">
        <v>2.250998394967703</v>
      </c>
      <c r="AI324">
        <v>1031.56</v>
      </c>
      <c r="AJ324">
        <v>91.310100000000006</v>
      </c>
      <c r="AK324">
        <v>30.360199999999999</v>
      </c>
      <c r="AL324">
        <v>13.222059658208179</v>
      </c>
      <c r="AM324">
        <v>32.291417553260523</v>
      </c>
      <c r="AN324">
        <v>32.291417553260523</v>
      </c>
      <c r="AO324" t="s">
        <v>58</v>
      </c>
      <c r="AP324" t="b">
        <v>1</v>
      </c>
      <c r="AQ324">
        <v>2.4422380769711771</v>
      </c>
      <c r="AR324">
        <v>1031.56</v>
      </c>
      <c r="AS324">
        <v>32.291417553260523</v>
      </c>
      <c r="AT324">
        <v>2.4422380769711771</v>
      </c>
      <c r="AU324" s="5" t="s">
        <v>88</v>
      </c>
      <c r="AV324" s="5" t="s">
        <v>88</v>
      </c>
      <c r="AW324" s="5" t="s">
        <v>88</v>
      </c>
      <c r="AX324" s="5" t="s">
        <v>88</v>
      </c>
      <c r="AY324" t="s">
        <v>64</v>
      </c>
      <c r="AZ324" t="s">
        <v>194</v>
      </c>
      <c r="BA324" s="23">
        <f t="shared" si="5"/>
        <v>4.6063612035701466E-2</v>
      </c>
      <c r="BB324" s="23">
        <f>IF(AND(ISNUMBER(H324),Metadata!$H$5&gt;Metadata!$G$5),MAX(Metadata!$G$5-H324,0,H324-Metadata!$H$5)/(Metadata!$H$5-Metadata!$G$5),"Missing input")</f>
        <v>4.6063612035701466E-2</v>
      </c>
      <c r="BC324" s="23">
        <f>IF(AND(ISNUMBER(L324),Metadata!$H$8&gt;Metadata!$G$8),MAX(Metadata!$G$8-L324,0,L324-Metadata!$H$8)/(Metadata!$H$8-Metadata!$G$8),"Missing input")</f>
        <v>3.9331795798790752E-2</v>
      </c>
    </row>
    <row r="325" spans="1:55" x14ac:dyDescent="0.2">
      <c r="A325" t="s">
        <v>405</v>
      </c>
      <c r="B325" t="s">
        <v>402</v>
      </c>
      <c r="C325" t="s">
        <v>84</v>
      </c>
      <c r="D325" t="s">
        <v>55</v>
      </c>
      <c r="E325" t="s">
        <v>56</v>
      </c>
      <c r="F325">
        <v>4</v>
      </c>
      <c r="G325">
        <v>40.065365059576777</v>
      </c>
      <c r="H325">
        <v>25.23064360495534</v>
      </c>
      <c r="I325">
        <v>1.57</v>
      </c>
      <c r="J325">
        <v>1.5</v>
      </c>
      <c r="K325">
        <v>0.7</v>
      </c>
      <c r="L325">
        <v>0.05</v>
      </c>
      <c r="M325">
        <v>10</v>
      </c>
      <c r="N325">
        <v>150</v>
      </c>
      <c r="Q325">
        <v>0.69813170079773179</v>
      </c>
      <c r="R325">
        <v>2986346.165161836</v>
      </c>
      <c r="S325">
        <v>-5.0605609492030586E-3</v>
      </c>
      <c r="T325">
        <v>1323.2635029237761</v>
      </c>
      <c r="U325">
        <v>402.90654267010871</v>
      </c>
      <c r="V325">
        <v>292.75741215127789</v>
      </c>
      <c r="W325">
        <v>1.3762471109080341</v>
      </c>
      <c r="X325" t="s">
        <v>57</v>
      </c>
      <c r="Z325">
        <v>773.48900000000003</v>
      </c>
      <c r="AA325">
        <v>95.163399999999996</v>
      </c>
      <c r="AB325">
        <v>43.415999999999997</v>
      </c>
      <c r="AC325">
        <v>15.410762578125</v>
      </c>
      <c r="AD325">
        <v>51.55979965305972</v>
      </c>
      <c r="AE325">
        <v>51.55979965305972</v>
      </c>
      <c r="AF325" t="s">
        <v>58</v>
      </c>
      <c r="AG325" t="b">
        <v>1</v>
      </c>
      <c r="AH325">
        <v>3.345700732957039</v>
      </c>
      <c r="AI325">
        <v>768.04499999999996</v>
      </c>
      <c r="AJ325">
        <v>91.310100000000006</v>
      </c>
      <c r="AK325">
        <v>43.169699999999999</v>
      </c>
      <c r="AL325">
        <v>14.98979887133182</v>
      </c>
      <c r="AM325">
        <v>51.856971346317927</v>
      </c>
      <c r="AN325">
        <v>51.856971346317927</v>
      </c>
      <c r="AO325" t="s">
        <v>58</v>
      </c>
      <c r="AP325" t="b">
        <v>1</v>
      </c>
      <c r="AQ325">
        <v>3.4594841326053438</v>
      </c>
      <c r="AR325">
        <v>773.48900000000003</v>
      </c>
      <c r="AS325">
        <v>51.856971346317927</v>
      </c>
      <c r="AT325">
        <v>3.4594841326053438</v>
      </c>
      <c r="AU325" s="5">
        <v>38.737157595699493</v>
      </c>
      <c r="AV325" s="5">
        <v>55.331388426521222</v>
      </c>
      <c r="AW325" s="5">
        <v>2.5842346470561917</v>
      </c>
      <c r="AX325" s="5">
        <v>3.6912695694899016</v>
      </c>
      <c r="AY325" t="s">
        <v>64</v>
      </c>
      <c r="AZ325" t="s">
        <v>11</v>
      </c>
      <c r="BA325" s="23">
        <f t="shared" si="5"/>
        <v>3.9331795798790752E-2</v>
      </c>
      <c r="BB325" s="23">
        <f>IF(AND(ISNUMBER(H325),Metadata!$H$5&gt;Metadata!$G$5),MAX(Metadata!$G$5-H325,0,H325-Metadata!$H$5)/(Metadata!$H$5-Metadata!$G$5),"Missing input")</f>
        <v>0</v>
      </c>
      <c r="BC325" s="23">
        <f>IF(AND(ISNUMBER(L325),Metadata!$H$8&gt;Metadata!$G$8),MAX(Metadata!$G$8-L325,0,L325-Metadata!$H$8)/(Metadata!$H$8-Metadata!$G$8),"Missing input")</f>
        <v>3.9331795798790752E-2</v>
      </c>
    </row>
    <row r="326" spans="1:55" x14ac:dyDescent="0.2">
      <c r="A326" t="s">
        <v>406</v>
      </c>
      <c r="B326" t="s">
        <v>402</v>
      </c>
      <c r="C326" t="s">
        <v>84</v>
      </c>
      <c r="D326" t="s">
        <v>55</v>
      </c>
      <c r="E326" t="s">
        <v>56</v>
      </c>
      <c r="F326">
        <v>5</v>
      </c>
      <c r="G326">
        <v>44.691650234033148</v>
      </c>
      <c r="H326">
        <v>35.278860063057749</v>
      </c>
      <c r="I326">
        <v>1.57</v>
      </c>
      <c r="J326">
        <v>1.5</v>
      </c>
      <c r="K326">
        <v>0.7</v>
      </c>
      <c r="L326">
        <v>0.05</v>
      </c>
      <c r="M326">
        <v>10</v>
      </c>
      <c r="N326">
        <v>150</v>
      </c>
      <c r="Q326">
        <v>0.69813170079773179</v>
      </c>
      <c r="R326">
        <v>4683732.748780732</v>
      </c>
      <c r="S326">
        <v>-5.5017359906756871E-3</v>
      </c>
      <c r="T326">
        <v>2061.9786008310161</v>
      </c>
      <c r="U326">
        <v>420.61586698098569</v>
      </c>
      <c r="V326">
        <v>456.18995593606547</v>
      </c>
      <c r="W326">
        <v>0.9220191315214632</v>
      </c>
      <c r="X326" t="s">
        <v>87</v>
      </c>
      <c r="Z326">
        <v>915.51400000000001</v>
      </c>
      <c r="AA326">
        <v>95.163399999999996</v>
      </c>
      <c r="AB326">
        <v>34.283200000000001</v>
      </c>
      <c r="AC326">
        <v>14.599358550185871</v>
      </c>
      <c r="AD326">
        <v>37.895042584545862</v>
      </c>
      <c r="AE326">
        <v>37.895042584545862</v>
      </c>
      <c r="AF326" t="s">
        <v>58</v>
      </c>
      <c r="AG326" t="b">
        <v>1</v>
      </c>
      <c r="AH326">
        <v>2.5956649022818481</v>
      </c>
      <c r="AI326">
        <v>910.78700000000003</v>
      </c>
      <c r="AJ326">
        <v>91.310100000000006</v>
      </c>
      <c r="AK326">
        <v>33.865600000000001</v>
      </c>
      <c r="AL326">
        <v>13.900762038845491</v>
      </c>
      <c r="AM326">
        <v>37.384315149844021</v>
      </c>
      <c r="AN326">
        <v>37.384315149844021</v>
      </c>
      <c r="AO326" t="s">
        <v>58</v>
      </c>
      <c r="AP326" t="b">
        <v>1</v>
      </c>
      <c r="AQ326">
        <v>2.6893716362724631</v>
      </c>
      <c r="AR326">
        <v>915.51400000000001</v>
      </c>
      <c r="AS326">
        <v>37.895042584545862</v>
      </c>
      <c r="AT326">
        <v>2.6893716362724631</v>
      </c>
      <c r="AU326" s="5" t="s">
        <v>88</v>
      </c>
      <c r="AV326" s="5" t="s">
        <v>88</v>
      </c>
      <c r="AW326" s="5" t="s">
        <v>88</v>
      </c>
      <c r="AX326" s="5" t="s">
        <v>88</v>
      </c>
      <c r="AY326" t="s">
        <v>64</v>
      </c>
      <c r="AZ326" t="s">
        <v>11</v>
      </c>
      <c r="BA326" s="23">
        <f t="shared" si="5"/>
        <v>3.9331795798790752E-2</v>
      </c>
      <c r="BB326" s="23">
        <f>IF(AND(ISNUMBER(H326),Metadata!$H$5&gt;Metadata!$G$5),MAX(Metadata!$G$5-H326,0,H326-Metadata!$H$5)/(Metadata!$H$5-Metadata!$G$5),"Missing input")</f>
        <v>0</v>
      </c>
      <c r="BC326" s="23">
        <f>IF(AND(ISNUMBER(L326),Metadata!$H$8&gt;Metadata!$G$8),MAX(Metadata!$G$8-L326,0,L326-Metadata!$H$8)/(Metadata!$H$8-Metadata!$G$8),"Missing input")</f>
        <v>3.9331795798790752E-2</v>
      </c>
    </row>
    <row r="327" spans="1:55" x14ac:dyDescent="0.2">
      <c r="A327" t="s">
        <v>407</v>
      </c>
      <c r="B327" t="s">
        <v>402</v>
      </c>
      <c r="C327" t="s">
        <v>84</v>
      </c>
      <c r="D327" t="s">
        <v>55</v>
      </c>
      <c r="E327" t="s">
        <v>56</v>
      </c>
      <c r="F327">
        <v>6</v>
      </c>
      <c r="G327">
        <v>33.086500490231572</v>
      </c>
      <c r="H327">
        <v>19.79580616436397</v>
      </c>
      <c r="I327">
        <v>1.57</v>
      </c>
      <c r="J327">
        <v>1.5</v>
      </c>
      <c r="K327">
        <v>0.7</v>
      </c>
      <c r="L327">
        <v>0.05</v>
      </c>
      <c r="M327">
        <v>10</v>
      </c>
      <c r="N327">
        <v>150</v>
      </c>
      <c r="Q327">
        <v>0.69813170079773179</v>
      </c>
      <c r="R327">
        <v>1918643.176085273</v>
      </c>
      <c r="S327">
        <v>-4.5443097648566397E-3</v>
      </c>
      <c r="T327">
        <v>915.0391797947683</v>
      </c>
      <c r="U327">
        <v>374.12836023116557</v>
      </c>
      <c r="V327">
        <v>202.44229641477179</v>
      </c>
      <c r="W327">
        <v>1.848074077685014</v>
      </c>
      <c r="X327" t="s">
        <v>57</v>
      </c>
      <c r="Z327">
        <v>616.32000000000005</v>
      </c>
      <c r="AA327">
        <v>64.999099999999999</v>
      </c>
      <c r="AB327">
        <v>37.809100000000001</v>
      </c>
      <c r="AC327">
        <v>15.339000938566549</v>
      </c>
      <c r="AD327">
        <v>64.743087920667335</v>
      </c>
      <c r="AE327">
        <v>64.743087920667335</v>
      </c>
      <c r="AF327" t="s">
        <v>58</v>
      </c>
      <c r="AG327" t="b">
        <v>1</v>
      </c>
      <c r="AH327">
        <v>4.2208151743367486</v>
      </c>
      <c r="AI327">
        <v>616.80499999999995</v>
      </c>
      <c r="AJ327">
        <v>64.818600000000004</v>
      </c>
      <c r="AK327">
        <v>39.358900000000013</v>
      </c>
      <c r="AL327">
        <v>15.15574883389262</v>
      </c>
      <c r="AM327">
        <v>47.280703547557842</v>
      </c>
      <c r="AN327">
        <v>47.280703547557842</v>
      </c>
      <c r="AO327" t="s">
        <v>58</v>
      </c>
      <c r="AP327" t="b">
        <v>1</v>
      </c>
      <c r="AQ327">
        <v>3.119654730739835</v>
      </c>
      <c r="AR327">
        <v>616.80499999999995</v>
      </c>
      <c r="AS327">
        <v>64.743087920667335</v>
      </c>
      <c r="AT327">
        <v>4.2208151743367486</v>
      </c>
      <c r="AU327" s="5">
        <v>48.363086676738497</v>
      </c>
      <c r="AV327" s="5">
        <v>69.080874811352047</v>
      </c>
      <c r="AW327" s="5">
        <v>3.152948935229551</v>
      </c>
      <c r="AX327" s="5">
        <v>4.5036097910173103</v>
      </c>
      <c r="AY327" t="s">
        <v>64</v>
      </c>
      <c r="AZ327" t="s">
        <v>11</v>
      </c>
      <c r="BA327" s="23">
        <f t="shared" si="5"/>
        <v>3.9331795798790752E-2</v>
      </c>
      <c r="BB327" s="23">
        <f>IF(AND(ISNUMBER(H327),Metadata!$H$5&gt;Metadata!$G$5),MAX(Metadata!$G$5-H327,0,H327-Metadata!$H$5)/(Metadata!$H$5-Metadata!$G$5),"Missing input")</f>
        <v>0</v>
      </c>
      <c r="BC327" s="23">
        <f>IF(AND(ISNUMBER(L327),Metadata!$H$8&gt;Metadata!$G$8),MAX(Metadata!$G$8-L327,0,L327-Metadata!$H$8)/(Metadata!$H$8-Metadata!$G$8),"Missing input")</f>
        <v>3.9331795798790752E-2</v>
      </c>
    </row>
    <row r="328" spans="1:55" x14ac:dyDescent="0.2">
      <c r="A328" t="s">
        <v>408</v>
      </c>
      <c r="B328" t="s">
        <v>402</v>
      </c>
      <c r="C328" t="s">
        <v>84</v>
      </c>
      <c r="D328" t="s">
        <v>55</v>
      </c>
      <c r="E328" t="s">
        <v>56</v>
      </c>
      <c r="F328">
        <v>7</v>
      </c>
      <c r="G328">
        <v>42.943727860216583</v>
      </c>
      <c r="H328">
        <v>31.604415760045629</v>
      </c>
      <c r="I328">
        <v>1.57</v>
      </c>
      <c r="J328">
        <v>1.5</v>
      </c>
      <c r="K328">
        <v>0.7</v>
      </c>
      <c r="L328">
        <v>0.05</v>
      </c>
      <c r="M328">
        <v>10</v>
      </c>
      <c r="N328">
        <v>150</v>
      </c>
      <c r="Q328">
        <v>0.69813170079773179</v>
      </c>
      <c r="R328">
        <v>4025355.613741619</v>
      </c>
      <c r="S328">
        <v>-5.4140826876959624E-3</v>
      </c>
      <c r="T328">
        <v>1767.125197942283</v>
      </c>
      <c r="U328">
        <v>414.03778154637018</v>
      </c>
      <c r="V328">
        <v>390.95690219962017</v>
      </c>
      <c r="W328">
        <v>1.059036889275752</v>
      </c>
      <c r="X328" t="s">
        <v>87</v>
      </c>
      <c r="Z328">
        <v>870.13099999999997</v>
      </c>
      <c r="AA328">
        <v>95.163399999999996</v>
      </c>
      <c r="AB328">
        <v>37.557300000000012</v>
      </c>
      <c r="AC328">
        <v>15.01904030764636</v>
      </c>
      <c r="AD328">
        <v>41.765421013192608</v>
      </c>
      <c r="AE328">
        <v>41.765421013192608</v>
      </c>
      <c r="AF328" t="s">
        <v>58</v>
      </c>
      <c r="AG328" t="b">
        <v>1</v>
      </c>
      <c r="AH328">
        <v>2.7808315416750951</v>
      </c>
      <c r="AI328">
        <v>866.45899999999995</v>
      </c>
      <c r="AJ328">
        <v>91.310100000000006</v>
      </c>
      <c r="AK328">
        <v>37.0047</v>
      </c>
      <c r="AL328">
        <v>14.460241328612581</v>
      </c>
      <c r="AM328">
        <v>40.583910681614348</v>
      </c>
      <c r="AN328">
        <v>40.583910681614348</v>
      </c>
      <c r="AO328" t="s">
        <v>58</v>
      </c>
      <c r="AP328" t="b">
        <v>1</v>
      </c>
      <c r="AQ328">
        <v>2.8065859870063639</v>
      </c>
      <c r="AR328">
        <v>870.13099999999997</v>
      </c>
      <c r="AS328">
        <v>41.765421013192608</v>
      </c>
      <c r="AT328">
        <v>2.8065859870063639</v>
      </c>
      <c r="AU328" s="5" t="s">
        <v>88</v>
      </c>
      <c r="AV328" s="5" t="s">
        <v>88</v>
      </c>
      <c r="AW328" s="5" t="s">
        <v>88</v>
      </c>
      <c r="AX328" s="5" t="s">
        <v>88</v>
      </c>
      <c r="AY328" t="s">
        <v>64</v>
      </c>
      <c r="AZ328" t="s">
        <v>11</v>
      </c>
      <c r="BA328" s="23">
        <f t="shared" si="5"/>
        <v>3.9331795798790752E-2</v>
      </c>
      <c r="BB328" s="23">
        <f>IF(AND(ISNUMBER(H328),Metadata!$H$5&gt;Metadata!$G$5),MAX(Metadata!$G$5-H328,0,H328-Metadata!$H$5)/(Metadata!$H$5-Metadata!$G$5),"Missing input")</f>
        <v>0</v>
      </c>
      <c r="BC328" s="23">
        <f>IF(AND(ISNUMBER(L328),Metadata!$H$8&gt;Metadata!$G$8),MAX(Metadata!$G$8-L328,0,L328-Metadata!$H$8)/(Metadata!$H$8-Metadata!$G$8),"Missing input")</f>
        <v>3.9331795798790752E-2</v>
      </c>
    </row>
    <row r="329" spans="1:55" x14ac:dyDescent="0.2">
      <c r="A329" t="s">
        <v>409</v>
      </c>
      <c r="B329" t="s">
        <v>402</v>
      </c>
      <c r="C329" t="s">
        <v>84</v>
      </c>
      <c r="D329" t="s">
        <v>55</v>
      </c>
      <c r="E329" t="s">
        <v>56</v>
      </c>
      <c r="F329">
        <v>8</v>
      </c>
      <c r="G329">
        <v>29.155454969686971</v>
      </c>
      <c r="H329">
        <v>7.3398505058277053</v>
      </c>
      <c r="I329">
        <v>1.57</v>
      </c>
      <c r="J329">
        <v>1.5</v>
      </c>
      <c r="K329">
        <v>0.7</v>
      </c>
      <c r="L329">
        <v>0.05</v>
      </c>
      <c r="M329">
        <v>10</v>
      </c>
      <c r="N329">
        <v>150</v>
      </c>
      <c r="Q329">
        <v>0.69813170079773179</v>
      </c>
      <c r="R329">
        <v>595711.36772068124</v>
      </c>
      <c r="S329">
        <v>-2.9106125557746311E-3</v>
      </c>
      <c r="T329">
        <v>480.50831710260849</v>
      </c>
      <c r="U329">
        <v>356.56616392634919</v>
      </c>
      <c r="V329">
        <v>106.3071498014621</v>
      </c>
      <c r="W329">
        <v>3.3541127251766958</v>
      </c>
      <c r="X329" t="s">
        <v>57</v>
      </c>
      <c r="Z329">
        <v>415.53</v>
      </c>
      <c r="AA329">
        <v>95.1648</v>
      </c>
      <c r="AB329">
        <v>65.006200000000007</v>
      </c>
      <c r="AC329">
        <v>16.180529847328241</v>
      </c>
      <c r="AE329">
        <v>95.1648</v>
      </c>
      <c r="AF329" t="s">
        <v>62</v>
      </c>
      <c r="AG329" t="b">
        <v>0</v>
      </c>
      <c r="AH329">
        <v>5.8814390442049573</v>
      </c>
      <c r="AI329">
        <v>412.28699999999998</v>
      </c>
      <c r="AJ329">
        <v>91.308700000000002</v>
      </c>
      <c r="AK329">
        <v>64.811499999999995</v>
      </c>
      <c r="AL329">
        <v>15.710698384886451</v>
      </c>
      <c r="AM329">
        <v>78.504298226912113</v>
      </c>
      <c r="AN329">
        <v>78.504298226912113</v>
      </c>
      <c r="AO329" t="s">
        <v>58</v>
      </c>
      <c r="AP329" t="b">
        <v>1</v>
      </c>
      <c r="AQ329">
        <v>4.9968687771660436</v>
      </c>
      <c r="AR329">
        <v>415.53</v>
      </c>
      <c r="AS329">
        <v>95.1648</v>
      </c>
      <c r="AT329">
        <v>5.8814390442049573</v>
      </c>
      <c r="AU329" s="5">
        <v>71.088105600000006</v>
      </c>
      <c r="AV329" s="5">
        <v>101.54084159999999</v>
      </c>
      <c r="AW329" s="5">
        <v>4.3934349660211032</v>
      </c>
      <c r="AX329" s="5">
        <v>6.275495460166689</v>
      </c>
      <c r="AY329" t="s">
        <v>64</v>
      </c>
      <c r="AZ329" t="s">
        <v>11</v>
      </c>
      <c r="BA329" s="23">
        <f t="shared" si="5"/>
        <v>3.9331795798790752E-2</v>
      </c>
      <c r="BB329" s="23">
        <f>IF(AND(ISNUMBER(H329),Metadata!$H$5&gt;Metadata!$G$5),MAX(Metadata!$G$5-H329,0,H329-Metadata!$H$5)/(Metadata!$H$5-Metadata!$G$5),"Missing input")</f>
        <v>0</v>
      </c>
      <c r="BC329" s="23">
        <f>IF(AND(ISNUMBER(L329),Metadata!$H$8&gt;Metadata!$G$8),MAX(Metadata!$G$8-L329,0,L329-Metadata!$H$8)/(Metadata!$H$8-Metadata!$G$8),"Missing input")</f>
        <v>3.9331795798790752E-2</v>
      </c>
    </row>
    <row r="330" spans="1:55" x14ac:dyDescent="0.2">
      <c r="A330" t="s">
        <v>410</v>
      </c>
      <c r="B330" t="s">
        <v>402</v>
      </c>
      <c r="C330" t="s">
        <v>84</v>
      </c>
      <c r="D330" t="s">
        <v>55</v>
      </c>
      <c r="E330" t="s">
        <v>56</v>
      </c>
      <c r="F330">
        <v>9</v>
      </c>
      <c r="G330">
        <v>59.748609235827082</v>
      </c>
      <c r="H330">
        <v>37.783512331141722</v>
      </c>
      <c r="I330">
        <v>1.57</v>
      </c>
      <c r="J330">
        <v>1.5</v>
      </c>
      <c r="K330">
        <v>0.7</v>
      </c>
      <c r="L330">
        <v>0.05</v>
      </c>
      <c r="M330">
        <v>10</v>
      </c>
      <c r="N330">
        <v>150</v>
      </c>
      <c r="Q330">
        <v>0.69813170079773179</v>
      </c>
      <c r="R330">
        <v>6726258.2664913209</v>
      </c>
      <c r="S330">
        <v>-5.5196544345891448E-3</v>
      </c>
      <c r="T330">
        <v>2958.9793454838732</v>
      </c>
      <c r="U330">
        <v>472.65571468842592</v>
      </c>
      <c r="V330">
        <v>654.64144811590108</v>
      </c>
      <c r="W330">
        <v>0.72200701017138236</v>
      </c>
      <c r="X330" t="s">
        <v>87</v>
      </c>
      <c r="Z330">
        <v>1160.26</v>
      </c>
      <c r="AA330">
        <v>95.163399999999996</v>
      </c>
      <c r="AB330">
        <v>32.520200000000003</v>
      </c>
      <c r="AC330">
        <v>14.72631494366475</v>
      </c>
      <c r="AD330">
        <v>34.627188118025458</v>
      </c>
      <c r="AE330">
        <v>34.627188118025458</v>
      </c>
      <c r="AF330" t="s">
        <v>58</v>
      </c>
      <c r="AG330" t="b">
        <v>1</v>
      </c>
      <c r="AH330">
        <v>2.351381744210356</v>
      </c>
      <c r="AI330">
        <v>1159.51</v>
      </c>
      <c r="AJ330">
        <v>91.310100000000006</v>
      </c>
      <c r="AK330">
        <v>32.289299999999997</v>
      </c>
      <c r="AL330">
        <v>13.946087436817219</v>
      </c>
      <c r="AM330">
        <v>33.958431362373283</v>
      </c>
      <c r="AN330">
        <v>33.958431362373283</v>
      </c>
      <c r="AO330" t="s">
        <v>58</v>
      </c>
      <c r="AP330" t="b">
        <v>1</v>
      </c>
      <c r="AQ330">
        <v>2.4349790947620278</v>
      </c>
      <c r="AR330">
        <v>1160.26</v>
      </c>
      <c r="AS330">
        <v>34.627188118025458</v>
      </c>
      <c r="AT330">
        <v>2.4349790947620278</v>
      </c>
      <c r="AU330" s="5" t="s">
        <v>88</v>
      </c>
      <c r="AV330" s="5" t="s">
        <v>88</v>
      </c>
      <c r="AW330" s="5" t="s">
        <v>88</v>
      </c>
      <c r="AX330" s="5" t="s">
        <v>88</v>
      </c>
      <c r="AY330" t="s">
        <v>64</v>
      </c>
      <c r="AZ330" t="s">
        <v>11</v>
      </c>
      <c r="BA330" s="23">
        <f t="shared" si="5"/>
        <v>3.9331795798790752E-2</v>
      </c>
      <c r="BB330" s="23">
        <f>IF(AND(ISNUMBER(H330),Metadata!$H$5&gt;Metadata!$G$5),MAX(Metadata!$G$5-H330,0,H330-Metadata!$H$5)/(Metadata!$H$5-Metadata!$G$5),"Missing input")</f>
        <v>0</v>
      </c>
      <c r="BC330" s="23">
        <f>IF(AND(ISNUMBER(L330),Metadata!$H$8&gt;Metadata!$G$8),MAX(Metadata!$G$8-L330,0,L330-Metadata!$H$8)/(Metadata!$H$8-Metadata!$G$8),"Missing input")</f>
        <v>3.9331795798790752E-2</v>
      </c>
    </row>
    <row r="331" spans="1:55" x14ac:dyDescent="0.2">
      <c r="A331" t="s">
        <v>411</v>
      </c>
      <c r="B331" t="s">
        <v>402</v>
      </c>
      <c r="C331" t="s">
        <v>84</v>
      </c>
      <c r="D331" t="s">
        <v>55</v>
      </c>
      <c r="E331" t="s">
        <v>56</v>
      </c>
      <c r="F331">
        <v>10</v>
      </c>
      <c r="G331">
        <v>34.746337553007109</v>
      </c>
      <c r="H331">
        <v>23.7414613202046</v>
      </c>
      <c r="I331">
        <v>1.57</v>
      </c>
      <c r="J331">
        <v>1.5</v>
      </c>
      <c r="K331">
        <v>0.7</v>
      </c>
      <c r="L331">
        <v>0.05</v>
      </c>
      <c r="M331">
        <v>10</v>
      </c>
      <c r="N331">
        <v>150</v>
      </c>
      <c r="Q331">
        <v>0.69813170079773179</v>
      </c>
      <c r="R331">
        <v>2428507.8121004719</v>
      </c>
      <c r="S331">
        <v>-4.9382592308798703E-3</v>
      </c>
      <c r="T331">
        <v>1111.217336052197</v>
      </c>
      <c r="U331">
        <v>381.22860755592978</v>
      </c>
      <c r="V331">
        <v>245.84454337438001</v>
      </c>
      <c r="W331">
        <v>1.550689725805233</v>
      </c>
      <c r="X331" t="s">
        <v>57</v>
      </c>
      <c r="Z331">
        <v>688.64200000000005</v>
      </c>
      <c r="AA331">
        <v>95.163399999999996</v>
      </c>
      <c r="AB331">
        <v>44.910200000000003</v>
      </c>
      <c r="AC331">
        <v>15.65752348098785</v>
      </c>
      <c r="AD331">
        <v>56.606847268300342</v>
      </c>
      <c r="AE331">
        <v>56.606847268300342</v>
      </c>
      <c r="AF331" t="s">
        <v>58</v>
      </c>
      <c r="AG331" t="b">
        <v>1</v>
      </c>
      <c r="AH331">
        <v>3.6153129412218479</v>
      </c>
      <c r="AI331">
        <v>683.45899999999995</v>
      </c>
      <c r="AJ331">
        <v>91.310100000000006</v>
      </c>
      <c r="AK331">
        <v>44.887300000000003</v>
      </c>
      <c r="AL331">
        <v>15.22363619309262</v>
      </c>
      <c r="AM331">
        <v>55.720627072129737</v>
      </c>
      <c r="AN331">
        <v>55.720627072129737</v>
      </c>
      <c r="AO331" t="s">
        <v>58</v>
      </c>
      <c r="AP331" t="b">
        <v>1</v>
      </c>
      <c r="AQ331">
        <v>3.66013916553075</v>
      </c>
      <c r="AR331">
        <v>688.64200000000005</v>
      </c>
      <c r="AS331">
        <v>56.606847268300342</v>
      </c>
      <c r="AT331">
        <v>3.66013916553075</v>
      </c>
      <c r="AU331" s="5">
        <v>42.285314909420357</v>
      </c>
      <c r="AV331" s="5">
        <v>60.39950603527646</v>
      </c>
      <c r="AW331" s="5">
        <v>2.7341239566514703</v>
      </c>
      <c r="AX331" s="5">
        <v>3.9053684896213099</v>
      </c>
      <c r="AY331" t="s">
        <v>64</v>
      </c>
      <c r="AZ331" t="s">
        <v>11</v>
      </c>
      <c r="BA331" s="23">
        <f t="shared" si="5"/>
        <v>3.9331795798790752E-2</v>
      </c>
      <c r="BB331" s="23">
        <f>IF(AND(ISNUMBER(H331),Metadata!$H$5&gt;Metadata!$G$5),MAX(Metadata!$G$5-H331,0,H331-Metadata!$H$5)/(Metadata!$H$5-Metadata!$G$5),"Missing input")</f>
        <v>0</v>
      </c>
      <c r="BC331" s="23">
        <f>IF(AND(ISNUMBER(L331),Metadata!$H$8&gt;Metadata!$G$8),MAX(Metadata!$G$8-L331,0,L331-Metadata!$H$8)/(Metadata!$H$8-Metadata!$G$8),"Missing input")</f>
        <v>3.9331795798790752E-2</v>
      </c>
    </row>
    <row r="332" spans="1:55" x14ac:dyDescent="0.2">
      <c r="A332" t="s">
        <v>412</v>
      </c>
      <c r="B332" t="s">
        <v>402</v>
      </c>
      <c r="C332" t="s">
        <v>84</v>
      </c>
      <c r="D332" t="s">
        <v>55</v>
      </c>
      <c r="E332" t="s">
        <v>56</v>
      </c>
      <c r="F332">
        <v>11</v>
      </c>
      <c r="G332">
        <v>24.502161634428251</v>
      </c>
      <c r="H332">
        <v>33.048591474592847</v>
      </c>
      <c r="I332">
        <v>1.57</v>
      </c>
      <c r="J332">
        <v>1.5</v>
      </c>
      <c r="K332">
        <v>0.7</v>
      </c>
      <c r="L332">
        <v>0.05</v>
      </c>
      <c r="M332">
        <v>10</v>
      </c>
      <c r="N332">
        <v>150</v>
      </c>
      <c r="Q332">
        <v>0.69813170079773179</v>
      </c>
      <c r="R332">
        <v>2383007.1153019848</v>
      </c>
      <c r="S332">
        <v>-5.4578307920819524E-3</v>
      </c>
      <c r="T332">
        <v>1134.971999997148</v>
      </c>
      <c r="U332">
        <v>334.16607855514201</v>
      </c>
      <c r="V332">
        <v>251.099999999369</v>
      </c>
      <c r="W332">
        <v>1.3308087556988519</v>
      </c>
      <c r="X332" t="s">
        <v>57</v>
      </c>
      <c r="Z332">
        <v>598.69399999999996</v>
      </c>
      <c r="AA332">
        <v>95.163399999999996</v>
      </c>
      <c r="AB332">
        <v>36.549900000000001</v>
      </c>
      <c r="AC332">
        <v>15.38491219035202</v>
      </c>
      <c r="AD332">
        <v>41.683984319018407</v>
      </c>
      <c r="AE332">
        <v>41.683984319018407</v>
      </c>
      <c r="AF332" t="s">
        <v>58</v>
      </c>
      <c r="AG332" t="b">
        <v>1</v>
      </c>
      <c r="AH332">
        <v>2.7094067098516632</v>
      </c>
      <c r="AI332">
        <v>594.75</v>
      </c>
      <c r="AJ332">
        <v>91.310100000000006</v>
      </c>
      <c r="AK332">
        <v>36.219900000000003</v>
      </c>
      <c r="AL332">
        <v>14.79233356334041</v>
      </c>
      <c r="AM332">
        <v>40.753386861907657</v>
      </c>
      <c r="AN332">
        <v>40.753386861907657</v>
      </c>
      <c r="AO332" t="s">
        <v>58</v>
      </c>
      <c r="AP332" t="b">
        <v>1</v>
      </c>
      <c r="AQ332">
        <v>2.755034335008919</v>
      </c>
      <c r="AR332">
        <v>598.69399999999996</v>
      </c>
      <c r="AS332">
        <v>41.683984319018407</v>
      </c>
      <c r="AT332">
        <v>2.755034335008919</v>
      </c>
      <c r="AU332" s="5">
        <v>31.137936286306751</v>
      </c>
      <c r="AV332" s="5">
        <v>44.476811268392638</v>
      </c>
      <c r="AW332" s="5">
        <v>2.0580106482516625</v>
      </c>
      <c r="AX332" s="5">
        <v>2.9396216354545164</v>
      </c>
      <c r="AY332" t="s">
        <v>64</v>
      </c>
      <c r="AZ332" t="s">
        <v>11</v>
      </c>
      <c r="BA332" s="23">
        <f t="shared" si="5"/>
        <v>3.9331795798790752E-2</v>
      </c>
      <c r="BB332" s="23">
        <f>IF(AND(ISNUMBER(H332),Metadata!$H$5&gt;Metadata!$G$5),MAX(Metadata!$G$5-H332,0,H332-Metadata!$H$5)/(Metadata!$H$5-Metadata!$G$5),"Missing input")</f>
        <v>0</v>
      </c>
      <c r="BC332" s="23">
        <f>IF(AND(ISNUMBER(L332),Metadata!$H$8&gt;Metadata!$G$8),MAX(Metadata!$G$8-L332,0,L332-Metadata!$H$8)/(Metadata!$H$8-Metadata!$G$8),"Missing input")</f>
        <v>3.9331795798790752E-2</v>
      </c>
    </row>
    <row r="333" spans="1:55" x14ac:dyDescent="0.2">
      <c r="A333" t="s">
        <v>413</v>
      </c>
      <c r="B333" t="s">
        <v>402</v>
      </c>
      <c r="C333" t="s">
        <v>84</v>
      </c>
      <c r="D333" t="s">
        <v>55</v>
      </c>
      <c r="E333" t="s">
        <v>56</v>
      </c>
      <c r="F333">
        <v>12</v>
      </c>
      <c r="G333">
        <v>56.241153781572699</v>
      </c>
      <c r="H333">
        <v>14.78764467513273</v>
      </c>
      <c r="I333">
        <v>1.57</v>
      </c>
      <c r="J333">
        <v>1.5</v>
      </c>
      <c r="K333">
        <v>0.7</v>
      </c>
      <c r="L333">
        <v>0.05</v>
      </c>
      <c r="M333">
        <v>10</v>
      </c>
      <c r="N333">
        <v>150</v>
      </c>
      <c r="Q333">
        <v>0.69813170079773179</v>
      </c>
      <c r="R333">
        <v>2448743.9197241841</v>
      </c>
      <c r="S333">
        <v>-3.9256970582109999E-3</v>
      </c>
      <c r="T333">
        <v>1060.8343060705299</v>
      </c>
      <c r="U333">
        <v>461.18138055412891</v>
      </c>
      <c r="V333">
        <v>234.69785532533859</v>
      </c>
      <c r="W333">
        <v>1.9650004040933331</v>
      </c>
      <c r="X333" t="s">
        <v>57</v>
      </c>
      <c r="Z333">
        <v>771.25900000000001</v>
      </c>
      <c r="AA333">
        <v>95.163399999999996</v>
      </c>
      <c r="AB333">
        <v>51.296399999999998</v>
      </c>
      <c r="AC333">
        <v>14.64382772403259</v>
      </c>
      <c r="AD333">
        <v>89.702060153515333</v>
      </c>
      <c r="AE333">
        <v>89.702060153515333</v>
      </c>
      <c r="AF333" t="s">
        <v>58</v>
      </c>
      <c r="AG333" t="b">
        <v>1</v>
      </c>
      <c r="AH333">
        <v>6.1255883259471551</v>
      </c>
      <c r="AI333">
        <v>767.58799999999997</v>
      </c>
      <c r="AJ333">
        <v>91.310100000000006</v>
      </c>
      <c r="AK333">
        <v>51.757599999999996</v>
      </c>
      <c r="AL333">
        <v>14.29729136786189</v>
      </c>
      <c r="AM333">
        <v>89.168456812982782</v>
      </c>
      <c r="AN333">
        <v>89.168456812982782</v>
      </c>
      <c r="AO333" t="s">
        <v>58</v>
      </c>
      <c r="AP333" t="b">
        <v>1</v>
      </c>
      <c r="AQ333">
        <v>6.2367377511393363</v>
      </c>
      <c r="AR333">
        <v>771.25900000000001</v>
      </c>
      <c r="AS333">
        <v>89.702060153515333</v>
      </c>
      <c r="AT333">
        <v>6.2367377511393363</v>
      </c>
      <c r="AU333" s="5">
        <v>67.00743893467596</v>
      </c>
      <c r="AV333" s="5">
        <v>95.712098183800862</v>
      </c>
      <c r="AW333" s="5">
        <v>4.6588431001010839</v>
      </c>
      <c r="AX333" s="5">
        <v>6.6545991804656719</v>
      </c>
      <c r="AY333" t="s">
        <v>64</v>
      </c>
      <c r="AZ333" t="s">
        <v>11</v>
      </c>
      <c r="BA333" s="23">
        <f t="shared" si="5"/>
        <v>3.9331795798790752E-2</v>
      </c>
      <c r="BB333" s="23">
        <f>IF(AND(ISNUMBER(H333),Metadata!$H$5&gt;Metadata!$G$5),MAX(Metadata!$G$5-H333,0,H333-Metadata!$H$5)/(Metadata!$H$5-Metadata!$G$5),"Missing input")</f>
        <v>0</v>
      </c>
      <c r="BC333" s="23">
        <f>IF(AND(ISNUMBER(L333),Metadata!$H$8&gt;Metadata!$G$8),MAX(Metadata!$G$8-L333,0,L333-Metadata!$H$8)/(Metadata!$H$8-Metadata!$G$8),"Missing input")</f>
        <v>3.9331795798790752E-2</v>
      </c>
    </row>
    <row r="334" spans="1:55" x14ac:dyDescent="0.2">
      <c r="A334" t="s">
        <v>414</v>
      </c>
      <c r="B334" t="s">
        <v>402</v>
      </c>
      <c r="C334" t="s">
        <v>84</v>
      </c>
      <c r="D334" t="s">
        <v>55</v>
      </c>
      <c r="E334" t="s">
        <v>56</v>
      </c>
      <c r="F334">
        <v>13</v>
      </c>
      <c r="G334">
        <v>49.119901382435643</v>
      </c>
      <c r="H334">
        <v>22.54933477691009</v>
      </c>
      <c r="I334">
        <v>1.57</v>
      </c>
      <c r="J334">
        <v>1.5</v>
      </c>
      <c r="K334">
        <v>0.7</v>
      </c>
      <c r="L334">
        <v>0.05</v>
      </c>
      <c r="M334">
        <v>10</v>
      </c>
      <c r="N334">
        <v>150</v>
      </c>
      <c r="Q334">
        <v>0.69813170079773179</v>
      </c>
      <c r="R334">
        <v>3276584.6264440492</v>
      </c>
      <c r="S334">
        <v>-4.8296169556661904E-3</v>
      </c>
      <c r="T334">
        <v>1412.968799359719</v>
      </c>
      <c r="U334">
        <v>436.72679835857213</v>
      </c>
      <c r="V334">
        <v>312.60371667250428</v>
      </c>
      <c r="W334">
        <v>1.3970620791310171</v>
      </c>
      <c r="X334" t="s">
        <v>57</v>
      </c>
      <c r="Z334">
        <v>854.71299999999997</v>
      </c>
      <c r="AA334">
        <v>95.024900000000002</v>
      </c>
      <c r="AB334">
        <v>44.910200000000003</v>
      </c>
      <c r="AC334">
        <v>15.250629985754991</v>
      </c>
      <c r="AD334">
        <v>50.881411509922351</v>
      </c>
      <c r="AE334">
        <v>50.881411509922351</v>
      </c>
      <c r="AF334" t="s">
        <v>58</v>
      </c>
      <c r="AG334" t="b">
        <v>1</v>
      </c>
      <c r="AH334">
        <v>3.3363481743015648</v>
      </c>
      <c r="AI334">
        <v>845.85</v>
      </c>
      <c r="AJ334">
        <v>90.843099999999993</v>
      </c>
      <c r="AK334">
        <v>39.358900000000013</v>
      </c>
      <c r="AL334">
        <v>14.781872911935411</v>
      </c>
      <c r="AM334">
        <v>60.801772051398963</v>
      </c>
      <c r="AN334">
        <v>60.801772051398963</v>
      </c>
      <c r="AO334" t="s">
        <v>58</v>
      </c>
      <c r="AP334" t="b">
        <v>1</v>
      </c>
      <c r="AQ334">
        <v>4.1132657825995427</v>
      </c>
      <c r="AR334">
        <v>854.71299999999997</v>
      </c>
      <c r="AS334">
        <v>60.801772051398963</v>
      </c>
      <c r="AT334">
        <v>4.1132657825995427</v>
      </c>
      <c r="AU334" s="5">
        <v>45.418923722395029</v>
      </c>
      <c r="AV334" s="5">
        <v>64.875490778842689</v>
      </c>
      <c r="AW334" s="5">
        <v>3.0726095396018582</v>
      </c>
      <c r="AX334" s="5">
        <v>4.3888545900337119</v>
      </c>
      <c r="AY334" t="s">
        <v>64</v>
      </c>
      <c r="AZ334" t="s">
        <v>11</v>
      </c>
      <c r="BA334" s="23">
        <f t="shared" si="5"/>
        <v>3.9331795798790752E-2</v>
      </c>
      <c r="BB334" s="23">
        <f>IF(AND(ISNUMBER(H334),Metadata!$H$5&gt;Metadata!$G$5),MAX(Metadata!$G$5-H334,0,H334-Metadata!$H$5)/(Metadata!$H$5-Metadata!$G$5),"Missing input")</f>
        <v>0</v>
      </c>
      <c r="BC334" s="23">
        <f>IF(AND(ISNUMBER(L334),Metadata!$H$8&gt;Metadata!$G$8),MAX(Metadata!$G$8-L334,0,L334-Metadata!$H$8)/(Metadata!$H$8-Metadata!$G$8),"Missing input")</f>
        <v>3.9331795798790752E-2</v>
      </c>
    </row>
    <row r="335" spans="1:55" x14ac:dyDescent="0.2">
      <c r="A335" t="s">
        <v>415</v>
      </c>
      <c r="B335" t="s">
        <v>402</v>
      </c>
      <c r="C335" t="s">
        <v>84</v>
      </c>
      <c r="D335" t="s">
        <v>55</v>
      </c>
      <c r="E335" t="s">
        <v>56</v>
      </c>
      <c r="F335">
        <v>14</v>
      </c>
      <c r="G335">
        <v>37.958866376576751</v>
      </c>
      <c r="H335">
        <v>9.8264864335603903</v>
      </c>
      <c r="I335">
        <v>1.57</v>
      </c>
      <c r="J335">
        <v>1.5</v>
      </c>
      <c r="K335">
        <v>0.7</v>
      </c>
      <c r="L335">
        <v>0.05</v>
      </c>
      <c r="M335">
        <v>10</v>
      </c>
      <c r="N335">
        <v>150</v>
      </c>
      <c r="Q335">
        <v>0.69813170079773179</v>
      </c>
      <c r="R335">
        <v>1072728.181448289</v>
      </c>
      <c r="S335">
        <v>-3.248136730156591E-3</v>
      </c>
      <c r="T335">
        <v>610.81355109044614</v>
      </c>
      <c r="U335">
        <v>394.50456499311781</v>
      </c>
      <c r="V335">
        <v>135.13574139169171</v>
      </c>
      <c r="W335">
        <v>2.919320684005013</v>
      </c>
      <c r="X335" t="s">
        <v>57</v>
      </c>
      <c r="Z335">
        <v>514.43700000000001</v>
      </c>
      <c r="AA335">
        <v>95.163399999999996</v>
      </c>
      <c r="AB335">
        <v>65.006200000000007</v>
      </c>
      <c r="AC335">
        <v>15.370126242897729</v>
      </c>
      <c r="AE335">
        <v>95.163399999999996</v>
      </c>
      <c r="AF335" t="s">
        <v>62</v>
      </c>
      <c r="AG335" t="b">
        <v>0</v>
      </c>
      <c r="AH335">
        <v>6.1914520737247267</v>
      </c>
      <c r="AI335">
        <v>511.48500000000001</v>
      </c>
      <c r="AJ335">
        <v>91.310100000000006</v>
      </c>
      <c r="AK335">
        <v>64.811499999999995</v>
      </c>
      <c r="AL335">
        <v>14.96344705003734</v>
      </c>
      <c r="AN335">
        <v>91.310100000000006</v>
      </c>
      <c r="AO335" t="s">
        <v>62</v>
      </c>
      <c r="AP335" t="b">
        <v>0</v>
      </c>
      <c r="AQ335">
        <v>6.1022102524011768</v>
      </c>
      <c r="AR335">
        <v>514.43700000000001</v>
      </c>
      <c r="AS335">
        <v>95.163399999999996</v>
      </c>
      <c r="AT335">
        <v>6.1914520737247267</v>
      </c>
      <c r="AU335" s="5">
        <v>71.087059799999992</v>
      </c>
      <c r="AV335" s="5">
        <v>101.53934779999999</v>
      </c>
      <c r="AW335" s="5">
        <v>4.6250146990723708</v>
      </c>
      <c r="AX335" s="5">
        <v>6.6062793626642833</v>
      </c>
      <c r="AY335" t="s">
        <v>64</v>
      </c>
      <c r="AZ335" t="s">
        <v>11</v>
      </c>
      <c r="BA335" s="23">
        <f t="shared" si="5"/>
        <v>3.9331795798790752E-2</v>
      </c>
      <c r="BB335" s="23">
        <f>IF(AND(ISNUMBER(H335),Metadata!$H$5&gt;Metadata!$G$5),MAX(Metadata!$G$5-H335,0,H335-Metadata!$H$5)/(Metadata!$H$5-Metadata!$G$5),"Missing input")</f>
        <v>0</v>
      </c>
      <c r="BC335" s="23">
        <f>IF(AND(ISNUMBER(L335),Metadata!$H$8&gt;Metadata!$G$8),MAX(Metadata!$G$8-L335,0,L335-Metadata!$H$8)/(Metadata!$H$8-Metadata!$G$8),"Missing input")</f>
        <v>3.9331795798790752E-2</v>
      </c>
    </row>
    <row r="336" spans="1:55" x14ac:dyDescent="0.2">
      <c r="A336" t="s">
        <v>416</v>
      </c>
      <c r="B336" t="s">
        <v>402</v>
      </c>
      <c r="C336" t="s">
        <v>84</v>
      </c>
      <c r="D336" t="s">
        <v>55</v>
      </c>
      <c r="E336" t="s">
        <v>56</v>
      </c>
      <c r="F336">
        <v>15</v>
      </c>
      <c r="G336">
        <v>27.308053040943211</v>
      </c>
      <c r="H336">
        <v>5.2772178758296739</v>
      </c>
      <c r="I336">
        <v>1.57</v>
      </c>
      <c r="J336">
        <v>1.5</v>
      </c>
      <c r="K336">
        <v>0.7</v>
      </c>
      <c r="L336">
        <v>0.05</v>
      </c>
      <c r="M336">
        <v>10</v>
      </c>
      <c r="N336">
        <v>150</v>
      </c>
      <c r="Q336">
        <v>0.69813170079773179</v>
      </c>
      <c r="R336">
        <v>386052.96198531118</v>
      </c>
      <c r="S336">
        <v>-2.641275474440524E-3</v>
      </c>
      <c r="T336">
        <v>428.52672237905682</v>
      </c>
      <c r="U336">
        <v>347.90390616620681</v>
      </c>
      <c r="V336">
        <v>94.806796986516986</v>
      </c>
      <c r="W336">
        <v>3.6696093236404161</v>
      </c>
      <c r="X336" t="s">
        <v>57</v>
      </c>
      <c r="Z336">
        <v>374.02800000000002</v>
      </c>
      <c r="AA336">
        <v>95.163399999999996</v>
      </c>
      <c r="AB336">
        <v>37.809100000000001</v>
      </c>
      <c r="AC336">
        <v>16.44633419421487</v>
      </c>
      <c r="AE336">
        <v>95.163399999999996</v>
      </c>
      <c r="AF336" t="s">
        <v>62</v>
      </c>
      <c r="AG336" t="b">
        <v>0</v>
      </c>
      <c r="AH336">
        <v>5.7862985681924464</v>
      </c>
      <c r="AI336">
        <v>372.35599999999999</v>
      </c>
      <c r="AJ336">
        <v>91.310100000000006</v>
      </c>
      <c r="AK336">
        <v>32.289299999999997</v>
      </c>
      <c r="AL336">
        <v>15.99915893719807</v>
      </c>
      <c r="AN336">
        <v>91.310100000000006</v>
      </c>
      <c r="AO336" t="s">
        <v>62</v>
      </c>
      <c r="AP336" t="b">
        <v>0</v>
      </c>
      <c r="AQ336">
        <v>5.7071812561161508</v>
      </c>
      <c r="AR336">
        <v>374.02800000000002</v>
      </c>
      <c r="AS336">
        <v>95.163399999999996</v>
      </c>
      <c r="AT336">
        <v>5.7862985681924464</v>
      </c>
      <c r="AU336" s="5">
        <v>71.087059799999992</v>
      </c>
      <c r="AV336" s="5">
        <v>101.53934779999999</v>
      </c>
      <c r="AW336" s="5">
        <v>4.3223650304397578</v>
      </c>
      <c r="AX336" s="5">
        <v>6.1739805722613399</v>
      </c>
      <c r="AY336" t="s">
        <v>64</v>
      </c>
      <c r="AZ336" t="s">
        <v>11</v>
      </c>
      <c r="BA336" s="23">
        <f t="shared" si="5"/>
        <v>3.9331795798790752E-2</v>
      </c>
      <c r="BB336" s="23">
        <f>IF(AND(ISNUMBER(H336),Metadata!$H$5&gt;Metadata!$G$5),MAX(Metadata!$G$5-H336,0,H336-Metadata!$H$5)/(Metadata!$H$5-Metadata!$G$5),"Missing input")</f>
        <v>0</v>
      </c>
      <c r="BC336" s="23">
        <f>IF(AND(ISNUMBER(L336),Metadata!$H$8&gt;Metadata!$G$8),MAX(Metadata!$G$8-L336,0,L336-Metadata!$H$8)/(Metadata!$H$8-Metadata!$G$8),"Missing input")</f>
        <v>3.9331795798790752E-2</v>
      </c>
    </row>
    <row r="337" spans="1:55" x14ac:dyDescent="0.2">
      <c r="A337" t="s">
        <v>417</v>
      </c>
      <c r="B337" t="s">
        <v>402</v>
      </c>
      <c r="C337" t="s">
        <v>84</v>
      </c>
      <c r="D337" t="s">
        <v>55</v>
      </c>
      <c r="E337" t="s">
        <v>56</v>
      </c>
      <c r="F337">
        <v>16</v>
      </c>
      <c r="G337">
        <v>31.1252119640606</v>
      </c>
      <c r="H337">
        <v>39.5069074866867</v>
      </c>
      <c r="I337">
        <v>1.57</v>
      </c>
      <c r="J337">
        <v>1.5</v>
      </c>
      <c r="K337">
        <v>0.7</v>
      </c>
      <c r="L337">
        <v>0.05</v>
      </c>
      <c r="M337">
        <v>10</v>
      </c>
      <c r="N337">
        <v>150</v>
      </c>
      <c r="Q337">
        <v>0.69813170079773179</v>
      </c>
      <c r="R337">
        <v>3642703.933702969</v>
      </c>
      <c r="S337">
        <v>-5.5144603795630092E-3</v>
      </c>
      <c r="T337">
        <v>1657.5346780090949</v>
      </c>
      <c r="U337">
        <v>365.50492061322012</v>
      </c>
      <c r="V337">
        <v>366.71121194891492</v>
      </c>
      <c r="W337">
        <v>0.9967105141692183</v>
      </c>
      <c r="X337" t="s">
        <v>87</v>
      </c>
      <c r="Z337">
        <v>713.63499999999999</v>
      </c>
      <c r="AA337">
        <v>95.163399999999996</v>
      </c>
      <c r="AB337">
        <v>31.512799999999999</v>
      </c>
      <c r="AC337">
        <v>14.07235468243681</v>
      </c>
      <c r="AD337">
        <v>34.715658357564443</v>
      </c>
      <c r="AE337">
        <v>34.715658357564443</v>
      </c>
      <c r="AF337" t="s">
        <v>58</v>
      </c>
      <c r="AG337" t="b">
        <v>1</v>
      </c>
      <c r="AH337">
        <v>2.4669402627331292</v>
      </c>
      <c r="AI337">
        <v>718.16600000000005</v>
      </c>
      <c r="AJ337">
        <v>91.310100000000006</v>
      </c>
      <c r="AK337">
        <v>32.074900000000007</v>
      </c>
      <c r="AL337">
        <v>13.610572522279231</v>
      </c>
      <c r="AM337">
        <v>34.020713603387087</v>
      </c>
      <c r="AN337">
        <v>34.020713603387087</v>
      </c>
      <c r="AO337" t="s">
        <v>58</v>
      </c>
      <c r="AP337" t="b">
        <v>1</v>
      </c>
      <c r="AQ337">
        <v>2.4995799072888651</v>
      </c>
      <c r="AR337">
        <v>718.16600000000005</v>
      </c>
      <c r="AS337">
        <v>34.715658357564443</v>
      </c>
      <c r="AT337">
        <v>2.4995799072888651</v>
      </c>
      <c r="AU337" s="5" t="s">
        <v>88</v>
      </c>
      <c r="AV337" s="5" t="s">
        <v>88</v>
      </c>
      <c r="AW337" s="5" t="s">
        <v>88</v>
      </c>
      <c r="AX337" s="5" t="s">
        <v>88</v>
      </c>
      <c r="AY337" t="s">
        <v>64</v>
      </c>
      <c r="AZ337" t="s">
        <v>11</v>
      </c>
      <c r="BA337" s="23">
        <f t="shared" si="5"/>
        <v>3.9331795798790752E-2</v>
      </c>
      <c r="BB337" s="23">
        <f>IF(AND(ISNUMBER(H337),Metadata!$H$5&gt;Metadata!$G$5),MAX(Metadata!$G$5-H337,0,H337-Metadata!$H$5)/(Metadata!$H$5-Metadata!$G$5),"Missing input")</f>
        <v>0</v>
      </c>
      <c r="BC337" s="23">
        <f>IF(AND(ISNUMBER(L337),Metadata!$H$8&gt;Metadata!$G$8),MAX(Metadata!$G$8-L337,0,L337-Metadata!$H$8)/(Metadata!$H$8-Metadata!$G$8),"Missing input")</f>
        <v>3.9331795798790752E-2</v>
      </c>
    </row>
    <row r="338" spans="1:55" x14ac:dyDescent="0.2">
      <c r="A338" t="s">
        <v>418</v>
      </c>
      <c r="B338" t="s">
        <v>402</v>
      </c>
      <c r="C338" t="s">
        <v>84</v>
      </c>
      <c r="D338" t="s">
        <v>55</v>
      </c>
      <c r="E338" t="s">
        <v>56</v>
      </c>
      <c r="F338">
        <v>17</v>
      </c>
      <c r="G338">
        <v>46.390186033042063</v>
      </c>
      <c r="H338">
        <v>16.21387510983789</v>
      </c>
      <c r="I338">
        <v>1.57</v>
      </c>
      <c r="J338">
        <v>1.5</v>
      </c>
      <c r="K338">
        <v>0.7</v>
      </c>
      <c r="L338">
        <v>0.05</v>
      </c>
      <c r="M338">
        <v>10</v>
      </c>
      <c r="N338">
        <v>150</v>
      </c>
      <c r="Q338">
        <v>0.69813170079773179</v>
      </c>
      <c r="R338">
        <v>2210215.3729856689</v>
      </c>
      <c r="S338">
        <v>-4.1121448537303823E-3</v>
      </c>
      <c r="T338">
        <v>992.19235058261199</v>
      </c>
      <c r="U338">
        <v>426.88594866080939</v>
      </c>
      <c r="V338">
        <v>219.5115819873036</v>
      </c>
      <c r="W338">
        <v>1.9447080869086</v>
      </c>
      <c r="X338" t="s">
        <v>57</v>
      </c>
      <c r="Z338">
        <v>711.47500000000002</v>
      </c>
      <c r="AA338">
        <v>95.091999999999999</v>
      </c>
      <c r="AB338">
        <v>51.296399999999998</v>
      </c>
      <c r="AC338">
        <v>15.10062994722955</v>
      </c>
      <c r="AD338">
        <v>51.436764715369883</v>
      </c>
      <c r="AE338">
        <v>51.436764715369883</v>
      </c>
      <c r="AF338" t="s">
        <v>58</v>
      </c>
      <c r="AG338" t="b">
        <v>1</v>
      </c>
      <c r="AH338">
        <v>3.4062661554597429</v>
      </c>
      <c r="AI338">
        <v>700.14099999999996</v>
      </c>
      <c r="AJ338">
        <v>85.327200000000005</v>
      </c>
      <c r="AK338">
        <v>39.358900000000013</v>
      </c>
      <c r="AL338">
        <v>14.3583371279336</v>
      </c>
      <c r="AN338">
        <v>85.327200000000005</v>
      </c>
      <c r="AO338" t="s">
        <v>62</v>
      </c>
      <c r="AP338" t="b">
        <v>0</v>
      </c>
      <c r="AQ338">
        <v>5.9426937283704806</v>
      </c>
      <c r="AR338">
        <v>711.47500000000002</v>
      </c>
      <c r="AS338">
        <v>85.327200000000005</v>
      </c>
      <c r="AT338">
        <v>5.9426937283704806</v>
      </c>
      <c r="AU338" s="5">
        <v>63.739418400000005</v>
      </c>
      <c r="AV338" s="5">
        <v>91.044122400000006</v>
      </c>
      <c r="AW338" s="5">
        <v>4.4391922150927492</v>
      </c>
      <c r="AX338" s="5">
        <v>6.3408542081713026</v>
      </c>
      <c r="AY338" t="s">
        <v>64</v>
      </c>
      <c r="AZ338" t="s">
        <v>11</v>
      </c>
      <c r="BA338" s="23">
        <f t="shared" si="5"/>
        <v>3.9331795798790752E-2</v>
      </c>
      <c r="BB338" s="23">
        <f>IF(AND(ISNUMBER(H338),Metadata!$H$5&gt;Metadata!$G$5),MAX(Metadata!$G$5-H338,0,H338-Metadata!$H$5)/(Metadata!$H$5-Metadata!$G$5),"Missing input")</f>
        <v>0</v>
      </c>
      <c r="BC338" s="23">
        <f>IF(AND(ISNUMBER(L338),Metadata!$H$8&gt;Metadata!$G$8),MAX(Metadata!$G$8-L338,0,L338-Metadata!$H$8)/(Metadata!$H$8-Metadata!$G$8),"Missing input")</f>
        <v>3.9331795798790752E-2</v>
      </c>
    </row>
    <row r="339" spans="1:55" x14ac:dyDescent="0.2">
      <c r="A339" t="s">
        <v>419</v>
      </c>
      <c r="B339" t="s">
        <v>402</v>
      </c>
      <c r="C339" t="s">
        <v>84</v>
      </c>
      <c r="D339" t="s">
        <v>55</v>
      </c>
      <c r="E339" t="s">
        <v>56</v>
      </c>
      <c r="F339">
        <v>18</v>
      </c>
      <c r="G339">
        <v>54.165408264435399</v>
      </c>
      <c r="H339">
        <v>18.25275816413232</v>
      </c>
      <c r="I339">
        <v>1.57</v>
      </c>
      <c r="J339">
        <v>1.5</v>
      </c>
      <c r="K339">
        <v>0.7</v>
      </c>
      <c r="L339">
        <v>0.05</v>
      </c>
      <c r="M339">
        <v>10</v>
      </c>
      <c r="N339">
        <v>150</v>
      </c>
      <c r="Q339">
        <v>0.69813170079773179</v>
      </c>
      <c r="R339">
        <v>2919725.6187367002</v>
      </c>
      <c r="S339">
        <v>-4.3655340606541188E-3</v>
      </c>
      <c r="T339">
        <v>1250.244632367107</v>
      </c>
      <c r="U339">
        <v>454.22166711882102</v>
      </c>
      <c r="V339">
        <v>276.6027947714839</v>
      </c>
      <c r="W339">
        <v>1.642144171009108</v>
      </c>
      <c r="X339" t="s">
        <v>57</v>
      </c>
      <c r="Z339">
        <v>834.20100000000002</v>
      </c>
      <c r="AA339">
        <v>95.163399999999996</v>
      </c>
      <c r="AB339">
        <v>51.296399999999998</v>
      </c>
      <c r="AC339">
        <v>14.98947143549951</v>
      </c>
      <c r="AD339">
        <v>74.554473525732391</v>
      </c>
      <c r="AE339">
        <v>74.554473525732391</v>
      </c>
      <c r="AF339" t="s">
        <v>58</v>
      </c>
      <c r="AG339" t="b">
        <v>1</v>
      </c>
      <c r="AH339">
        <v>4.9737893591874949</v>
      </c>
      <c r="AI339">
        <v>830.58</v>
      </c>
      <c r="AJ339">
        <v>91.310100000000006</v>
      </c>
      <c r="AK339">
        <v>51.757599999999996</v>
      </c>
      <c r="AL339">
        <v>14.743102260030479</v>
      </c>
      <c r="AM339">
        <v>74.086771409088641</v>
      </c>
      <c r="AN339">
        <v>74.086771409088641</v>
      </c>
      <c r="AO339" t="s">
        <v>58</v>
      </c>
      <c r="AP339" t="b">
        <v>1</v>
      </c>
      <c r="AQ339">
        <v>5.0251819530508701</v>
      </c>
      <c r="AR339">
        <v>834.20100000000002</v>
      </c>
      <c r="AS339">
        <v>74.554473525732391</v>
      </c>
      <c r="AT339">
        <v>5.0251819530508701</v>
      </c>
      <c r="AU339" s="5">
        <v>55.692191723722097</v>
      </c>
      <c r="AV339" s="5">
        <v>79.549623251956461</v>
      </c>
      <c r="AW339" s="5">
        <v>3.7538109189290001</v>
      </c>
      <c r="AX339" s="5">
        <v>5.3618691439052784</v>
      </c>
      <c r="AY339" t="s">
        <v>64</v>
      </c>
      <c r="AZ339" t="s">
        <v>11</v>
      </c>
      <c r="BA339" s="23">
        <f t="shared" si="5"/>
        <v>3.9331795798790752E-2</v>
      </c>
      <c r="BB339" s="23">
        <f>IF(AND(ISNUMBER(H339),Metadata!$H$5&gt;Metadata!$G$5),MAX(Metadata!$G$5-H339,0,H339-Metadata!$H$5)/(Metadata!$H$5-Metadata!$G$5),"Missing input")</f>
        <v>0</v>
      </c>
      <c r="BC339" s="23">
        <f>IF(AND(ISNUMBER(L339),Metadata!$H$8&gt;Metadata!$G$8),MAX(Metadata!$G$8-L339,0,L339-Metadata!$H$8)/(Metadata!$H$8-Metadata!$G$8),"Missing input")</f>
        <v>3.9331795798790752E-2</v>
      </c>
    </row>
    <row r="340" spans="1:55" x14ac:dyDescent="0.2">
      <c r="A340" t="s">
        <v>420</v>
      </c>
      <c r="B340" t="s">
        <v>402</v>
      </c>
      <c r="C340" t="s">
        <v>84</v>
      </c>
      <c r="D340" t="s">
        <v>55</v>
      </c>
      <c r="E340" t="s">
        <v>56</v>
      </c>
      <c r="F340">
        <v>19</v>
      </c>
      <c r="G340">
        <v>21.707483118551171</v>
      </c>
      <c r="H340">
        <v>43.497365085878002</v>
      </c>
      <c r="I340">
        <v>1.57</v>
      </c>
      <c r="J340">
        <v>1.5</v>
      </c>
      <c r="K340">
        <v>0.7</v>
      </c>
      <c r="L340">
        <v>0.05</v>
      </c>
      <c r="M340">
        <v>10</v>
      </c>
      <c r="N340">
        <v>150</v>
      </c>
      <c r="Q340">
        <v>0.69813170079773179</v>
      </c>
      <c r="R340">
        <v>2786376.2799094608</v>
      </c>
      <c r="S340">
        <v>-5.4537834675914753E-3</v>
      </c>
      <c r="T340">
        <v>1327.844178866673</v>
      </c>
      <c r="U340">
        <v>319.67636247252739</v>
      </c>
      <c r="V340">
        <v>293.77083603244972</v>
      </c>
      <c r="W340">
        <v>1.0881827712714689</v>
      </c>
      <c r="X340" t="s">
        <v>87</v>
      </c>
      <c r="Z340">
        <v>566.245</v>
      </c>
      <c r="AA340">
        <v>95.163399999999996</v>
      </c>
      <c r="AB340">
        <v>29.7498</v>
      </c>
      <c r="AC340">
        <v>13.946117358870969</v>
      </c>
      <c r="AD340">
        <v>33.230098142857138</v>
      </c>
      <c r="AE340">
        <v>33.230098142857138</v>
      </c>
      <c r="AF340" t="s">
        <v>58</v>
      </c>
      <c r="AG340" t="b">
        <v>1</v>
      </c>
      <c r="AH340">
        <v>2.3827490682716679</v>
      </c>
      <c r="AI340">
        <v>571.36</v>
      </c>
      <c r="AJ340">
        <v>91.310100000000006</v>
      </c>
      <c r="AK340">
        <v>30.5745</v>
      </c>
      <c r="AL340">
        <v>13.468123071718541</v>
      </c>
      <c r="AM340">
        <v>32.295756018957348</v>
      </c>
      <c r="AN340">
        <v>32.295756018957348</v>
      </c>
      <c r="AO340" t="s">
        <v>58</v>
      </c>
      <c r="AP340" t="b">
        <v>1</v>
      </c>
      <c r="AQ340">
        <v>2.3979403697887651</v>
      </c>
      <c r="AR340">
        <v>571.36</v>
      </c>
      <c r="AS340">
        <v>33.230098142857138</v>
      </c>
      <c r="AT340">
        <v>2.3979403697887651</v>
      </c>
      <c r="AU340" s="5" t="s">
        <v>88</v>
      </c>
      <c r="AV340" s="5" t="s">
        <v>88</v>
      </c>
      <c r="AW340" s="5" t="s">
        <v>88</v>
      </c>
      <c r="AX340" s="5" t="s">
        <v>88</v>
      </c>
      <c r="AY340" t="s">
        <v>64</v>
      </c>
      <c r="AZ340" t="s">
        <v>194</v>
      </c>
      <c r="BA340" s="23">
        <f t="shared" si="5"/>
        <v>9.4596678167087334E-2</v>
      </c>
      <c r="BB340" s="23">
        <f>IF(AND(ISNUMBER(H340),Metadata!$H$5&gt;Metadata!$G$5),MAX(Metadata!$G$5-H340,0,H340-Metadata!$H$5)/(Metadata!$H$5-Metadata!$G$5),"Missing input")</f>
        <v>9.4596678167087334E-2</v>
      </c>
      <c r="BC340" s="23">
        <f>IF(AND(ISNUMBER(L340),Metadata!$H$8&gt;Metadata!$G$8),MAX(Metadata!$G$8-L340,0,L340-Metadata!$H$8)/(Metadata!$H$8-Metadata!$G$8),"Missing input")</f>
        <v>3.9331795798790752E-2</v>
      </c>
    </row>
    <row r="341" spans="1:55" x14ac:dyDescent="0.2">
      <c r="A341" t="s">
        <v>421</v>
      </c>
      <c r="B341" t="s">
        <v>402</v>
      </c>
      <c r="C341" t="s">
        <v>84</v>
      </c>
      <c r="D341" t="s">
        <v>55</v>
      </c>
      <c r="E341" t="s">
        <v>56</v>
      </c>
      <c r="F341">
        <v>20</v>
      </c>
      <c r="G341">
        <v>53.035991243371583</v>
      </c>
      <c r="H341">
        <v>30.34654288470276</v>
      </c>
      <c r="I341">
        <v>1.57</v>
      </c>
      <c r="J341">
        <v>1.5</v>
      </c>
      <c r="K341">
        <v>0.7</v>
      </c>
      <c r="L341">
        <v>0.05</v>
      </c>
      <c r="M341">
        <v>10</v>
      </c>
      <c r="N341">
        <v>150</v>
      </c>
      <c r="Q341">
        <v>0.69813170079773179</v>
      </c>
      <c r="R341">
        <v>4782098.2730990862</v>
      </c>
      <c r="S341">
        <v>-5.3655376304331702E-3</v>
      </c>
      <c r="T341">
        <v>2064.392118408005</v>
      </c>
      <c r="U341">
        <v>450.37879769466292</v>
      </c>
      <c r="V341">
        <v>456.72392000177121</v>
      </c>
      <c r="W341">
        <v>0.98610731334788915</v>
      </c>
      <c r="X341" t="s">
        <v>87</v>
      </c>
      <c r="Z341">
        <v>1006.36</v>
      </c>
      <c r="AA341">
        <v>95.163399999999996</v>
      </c>
      <c r="AB341">
        <v>37.809100000000001</v>
      </c>
      <c r="AC341">
        <v>15.13370887423935</v>
      </c>
      <c r="AD341">
        <v>43.82569829067026</v>
      </c>
      <c r="AE341">
        <v>43.82569829067026</v>
      </c>
      <c r="AF341" t="s">
        <v>58</v>
      </c>
      <c r="AG341" t="b">
        <v>1</v>
      </c>
      <c r="AH341">
        <v>2.895899389558795</v>
      </c>
      <c r="AI341">
        <v>1006.18</v>
      </c>
      <c r="AJ341">
        <v>91.310100000000006</v>
      </c>
      <c r="AK341">
        <v>38.312600000000003</v>
      </c>
      <c r="AL341">
        <v>14.74631672979798</v>
      </c>
      <c r="AM341">
        <v>42.265206172102893</v>
      </c>
      <c r="AN341">
        <v>42.265206172102893</v>
      </c>
      <c r="AO341" t="s">
        <v>58</v>
      </c>
      <c r="AP341" t="b">
        <v>1</v>
      </c>
      <c r="AQ341">
        <v>2.8661534230237522</v>
      </c>
      <c r="AR341">
        <v>1006.36</v>
      </c>
      <c r="AS341">
        <v>43.82569829067026</v>
      </c>
      <c r="AT341">
        <v>2.895899389558795</v>
      </c>
      <c r="AU341" s="5" t="s">
        <v>88</v>
      </c>
      <c r="AV341" s="5" t="s">
        <v>88</v>
      </c>
      <c r="AW341" s="5" t="s">
        <v>88</v>
      </c>
      <c r="AX341" s="5" t="s">
        <v>88</v>
      </c>
      <c r="AY341" t="s">
        <v>64</v>
      </c>
      <c r="AZ341" t="s">
        <v>11</v>
      </c>
      <c r="BA341" s="23">
        <f t="shared" si="5"/>
        <v>3.9331795798790752E-2</v>
      </c>
      <c r="BB341" s="23">
        <f>IF(AND(ISNUMBER(H341),Metadata!$H$5&gt;Metadata!$G$5),MAX(Metadata!$G$5-H341,0,H341-Metadata!$H$5)/(Metadata!$H$5-Metadata!$G$5),"Missing input")</f>
        <v>0</v>
      </c>
      <c r="BC341" s="23">
        <f>IF(AND(ISNUMBER(L341),Metadata!$H$8&gt;Metadata!$G$8),MAX(Metadata!$G$8-L341,0,L341-Metadata!$H$8)/(Metadata!$H$8-Metadata!$G$8),"Missing input")</f>
        <v>3.9331795798790752E-2</v>
      </c>
    </row>
    <row r="342" spans="1:55" x14ac:dyDescent="0.2">
      <c r="A342" t="s">
        <v>422</v>
      </c>
      <c r="B342" t="s">
        <v>423</v>
      </c>
      <c r="C342" t="s">
        <v>84</v>
      </c>
      <c r="D342" t="s">
        <v>55</v>
      </c>
      <c r="E342" t="s">
        <v>56</v>
      </c>
      <c r="F342">
        <v>1</v>
      </c>
      <c r="G342">
        <v>22.11413992487228</v>
      </c>
      <c r="H342">
        <v>28.832065765515338</v>
      </c>
      <c r="I342">
        <v>1.57</v>
      </c>
      <c r="J342">
        <v>1.5</v>
      </c>
      <c r="K342">
        <v>0.95</v>
      </c>
      <c r="L342">
        <v>0.05</v>
      </c>
      <c r="M342">
        <v>10</v>
      </c>
      <c r="N342">
        <v>110</v>
      </c>
      <c r="Q342">
        <v>0.95199777381508888</v>
      </c>
      <c r="R342">
        <v>1866510.334985178</v>
      </c>
      <c r="S342">
        <v>-5.9188493066819172E-3</v>
      </c>
      <c r="T342">
        <v>931.93139645531812</v>
      </c>
      <c r="U342">
        <v>321.84049569621862</v>
      </c>
      <c r="V342">
        <v>206.1795124901146</v>
      </c>
      <c r="W342">
        <v>1.5609722411757541</v>
      </c>
      <c r="X342" t="s">
        <v>57</v>
      </c>
      <c r="Z342">
        <v>561.02</v>
      </c>
      <c r="AA342">
        <v>95.163399999999996</v>
      </c>
      <c r="AB342">
        <v>41.921900000000001</v>
      </c>
      <c r="AC342">
        <v>16.895363094083411</v>
      </c>
      <c r="AD342">
        <v>51.387406246178038</v>
      </c>
      <c r="AE342">
        <v>51.387406246178038</v>
      </c>
      <c r="AF342" t="s">
        <v>58</v>
      </c>
      <c r="AG342" t="b">
        <v>1</v>
      </c>
      <c r="AH342">
        <v>3.0415094342762838</v>
      </c>
      <c r="AI342">
        <v>559.04</v>
      </c>
      <c r="AJ342">
        <v>91.310100000000006</v>
      </c>
      <c r="AK342">
        <v>39.358900000000013</v>
      </c>
      <c r="AL342">
        <v>16.56383856362217</v>
      </c>
      <c r="AM342">
        <v>51.769059692941518</v>
      </c>
      <c r="AN342">
        <v>51.769059692941518</v>
      </c>
      <c r="AO342" t="s">
        <v>58</v>
      </c>
      <c r="AP342" t="b">
        <v>1</v>
      </c>
      <c r="AQ342">
        <v>3.1254264821584141</v>
      </c>
      <c r="AR342">
        <v>561.02</v>
      </c>
      <c r="AS342">
        <v>51.769059692941518</v>
      </c>
      <c r="AT342">
        <v>3.1254264821584141</v>
      </c>
      <c r="AU342" s="5">
        <v>38.671487590627315</v>
      </c>
      <c r="AV342" s="5">
        <v>55.237586692368595</v>
      </c>
      <c r="AW342" s="5">
        <v>2.3346935821723354</v>
      </c>
      <c r="AX342" s="5">
        <v>3.3348300564630278</v>
      </c>
      <c r="AY342" t="s">
        <v>64</v>
      </c>
      <c r="AZ342" t="s">
        <v>11</v>
      </c>
      <c r="BA342" s="23">
        <f t="shared" si="5"/>
        <v>3.9331795798790752E-2</v>
      </c>
      <c r="BB342" s="23">
        <f>IF(AND(ISNUMBER(H342),Metadata!$H$5&gt;Metadata!$G$5),MAX(Metadata!$G$5-H342,0,H342-Metadata!$H$5)/(Metadata!$H$5-Metadata!$G$5),"Missing input")</f>
        <v>0</v>
      </c>
      <c r="BC342" s="23">
        <f>IF(AND(ISNUMBER(L342),Metadata!$H$8&gt;Metadata!$G$8),MAX(Metadata!$G$8-L342,0,L342-Metadata!$H$8)/(Metadata!$H$8-Metadata!$G$8),"Missing input")</f>
        <v>3.9331795798790752E-2</v>
      </c>
    </row>
    <row r="343" spans="1:55" x14ac:dyDescent="0.2">
      <c r="A343" t="s">
        <v>424</v>
      </c>
      <c r="B343" t="s">
        <v>423</v>
      </c>
      <c r="C343" t="s">
        <v>84</v>
      </c>
      <c r="D343" t="s">
        <v>55</v>
      </c>
      <c r="E343" t="s">
        <v>56</v>
      </c>
      <c r="F343">
        <v>2</v>
      </c>
      <c r="G343">
        <v>39.289372610104301</v>
      </c>
      <c r="H343">
        <v>11.43599740060767</v>
      </c>
      <c r="I343">
        <v>1.57</v>
      </c>
      <c r="J343">
        <v>1.5</v>
      </c>
      <c r="K343">
        <v>0.95</v>
      </c>
      <c r="L343">
        <v>0.05</v>
      </c>
      <c r="M343">
        <v>10</v>
      </c>
      <c r="N343">
        <v>110</v>
      </c>
      <c r="Q343">
        <v>0.95199777381508888</v>
      </c>
      <c r="R343">
        <v>1301660.814121977</v>
      </c>
      <c r="S343">
        <v>-3.834118102106601E-3</v>
      </c>
      <c r="T343">
        <v>682.24591859950192</v>
      </c>
      <c r="U343">
        <v>399.83772025420927</v>
      </c>
      <c r="V343">
        <v>150.93936252201371</v>
      </c>
      <c r="W343">
        <v>2.648995686568473</v>
      </c>
      <c r="X343" t="s">
        <v>57</v>
      </c>
      <c r="Z343">
        <v>571.30399999999997</v>
      </c>
      <c r="AA343">
        <v>95.163399999999996</v>
      </c>
      <c r="AB343">
        <v>37.809100000000001</v>
      </c>
      <c r="AC343">
        <v>15.92093018318068</v>
      </c>
      <c r="AD343">
        <v>37.923336760699193</v>
      </c>
      <c r="AE343">
        <v>37.923336760699193</v>
      </c>
      <c r="AF343" t="s">
        <v>58</v>
      </c>
      <c r="AG343" t="b">
        <v>1</v>
      </c>
      <c r="AH343">
        <v>2.3819799675249169</v>
      </c>
      <c r="AI343">
        <v>559.72</v>
      </c>
      <c r="AJ343">
        <v>91.310100000000006</v>
      </c>
      <c r="AK343">
        <v>32.289299999999997</v>
      </c>
      <c r="AL343">
        <v>15.06034337899543</v>
      </c>
      <c r="AM343">
        <v>33.76015805353471</v>
      </c>
      <c r="AN343">
        <v>33.76015805353471</v>
      </c>
      <c r="AO343" t="s">
        <v>58</v>
      </c>
      <c r="AP343" t="b">
        <v>1</v>
      </c>
      <c r="AQ343">
        <v>2.2416592506529289</v>
      </c>
      <c r="AR343">
        <v>571.30399999999997</v>
      </c>
      <c r="AS343">
        <v>37.923336760699193</v>
      </c>
      <c r="AT343">
        <v>2.3819799675249169</v>
      </c>
      <c r="AU343" s="5">
        <v>28.328732560242297</v>
      </c>
      <c r="AV343" s="5">
        <v>40.464200323666034</v>
      </c>
      <c r="AW343" s="5">
        <v>1.779339035741113</v>
      </c>
      <c r="AX343" s="5">
        <v>2.5415726253490862</v>
      </c>
      <c r="AY343" t="s">
        <v>64</v>
      </c>
      <c r="AZ343" t="s">
        <v>11</v>
      </c>
      <c r="BA343" s="23">
        <f t="shared" si="5"/>
        <v>3.9331795798790752E-2</v>
      </c>
      <c r="BB343" s="23">
        <f>IF(AND(ISNUMBER(H343),Metadata!$H$5&gt;Metadata!$G$5),MAX(Metadata!$G$5-H343,0,H343-Metadata!$H$5)/(Metadata!$H$5-Metadata!$G$5),"Missing input")</f>
        <v>0</v>
      </c>
      <c r="BC343" s="23">
        <f>IF(AND(ISNUMBER(L343),Metadata!$H$8&gt;Metadata!$G$8),MAX(Metadata!$G$8-L343,0,L343-Metadata!$H$8)/(Metadata!$H$8-Metadata!$G$8),"Missing input")</f>
        <v>3.9331795798790752E-2</v>
      </c>
    </row>
    <row r="344" spans="1:55" x14ac:dyDescent="0.2">
      <c r="A344" t="s">
        <v>425</v>
      </c>
      <c r="B344" t="s">
        <v>423</v>
      </c>
      <c r="C344" t="s">
        <v>84</v>
      </c>
      <c r="D344" t="s">
        <v>55</v>
      </c>
      <c r="E344" t="s">
        <v>56</v>
      </c>
      <c r="F344">
        <v>3</v>
      </c>
      <c r="G344">
        <v>50.720967279676117</v>
      </c>
      <c r="H344">
        <v>41.572102032205443</v>
      </c>
      <c r="I344">
        <v>1.57</v>
      </c>
      <c r="J344">
        <v>1.5</v>
      </c>
      <c r="K344">
        <v>0.95</v>
      </c>
      <c r="L344">
        <v>0.05</v>
      </c>
      <c r="M344">
        <v>10</v>
      </c>
      <c r="N344">
        <v>110</v>
      </c>
      <c r="Q344">
        <v>0.95199777381508888</v>
      </c>
      <c r="R344">
        <v>6279453.0057685468</v>
      </c>
      <c r="S344">
        <v>-6.1793395719304881E-3</v>
      </c>
      <c r="T344">
        <v>2795.5189136654449</v>
      </c>
      <c r="U344">
        <v>442.37180548346367</v>
      </c>
      <c r="V344">
        <v>618.47763576669149</v>
      </c>
      <c r="W344">
        <v>0.71525917818367124</v>
      </c>
      <c r="X344" t="s">
        <v>87</v>
      </c>
      <c r="Z344">
        <v>1039.48</v>
      </c>
      <c r="AA344">
        <v>95.163399999999996</v>
      </c>
      <c r="AB344">
        <v>32.016500000000001</v>
      </c>
      <c r="AC344">
        <v>14.748140594059411</v>
      </c>
      <c r="AD344">
        <v>34.414185232334162</v>
      </c>
      <c r="AE344">
        <v>34.414185232334162</v>
      </c>
      <c r="AF344" t="s">
        <v>58</v>
      </c>
      <c r="AG344" t="b">
        <v>1</v>
      </c>
      <c r="AH344">
        <v>2.333459259684322</v>
      </c>
      <c r="AI344">
        <v>1042.78</v>
      </c>
      <c r="AJ344">
        <v>91.310100000000006</v>
      </c>
      <c r="AK344">
        <v>32.289299999999997</v>
      </c>
      <c r="AL344">
        <v>13.952550441826221</v>
      </c>
      <c r="AM344">
        <v>33.985018677865817</v>
      </c>
      <c r="AN344">
        <v>33.985018677865817</v>
      </c>
      <c r="AO344" t="s">
        <v>58</v>
      </c>
      <c r="AP344" t="b">
        <v>1</v>
      </c>
      <c r="AQ344">
        <v>2.435756732761011</v>
      </c>
      <c r="AR344">
        <v>1042.78</v>
      </c>
      <c r="AS344">
        <v>34.414185232334162</v>
      </c>
      <c r="AT344">
        <v>2.435756732761011</v>
      </c>
      <c r="AU344" s="5" t="s">
        <v>88</v>
      </c>
      <c r="AV344" s="5" t="s">
        <v>88</v>
      </c>
      <c r="AW344" s="5" t="s">
        <v>88</v>
      </c>
      <c r="AX344" s="5" t="s">
        <v>88</v>
      </c>
      <c r="AY344" t="s">
        <v>64</v>
      </c>
      <c r="AZ344" t="s">
        <v>194</v>
      </c>
      <c r="BA344" s="23">
        <f t="shared" si="5"/>
        <v>4.6063612035701466E-2</v>
      </c>
      <c r="BB344" s="23">
        <f>IF(AND(ISNUMBER(H344),Metadata!$H$5&gt;Metadata!$G$5),MAX(Metadata!$G$5-H344,0,H344-Metadata!$H$5)/(Metadata!$H$5-Metadata!$G$5),"Missing input")</f>
        <v>4.6063612035701466E-2</v>
      </c>
      <c r="BC344" s="23">
        <f>IF(AND(ISNUMBER(L344),Metadata!$H$8&gt;Metadata!$G$8),MAX(Metadata!$G$8-L344,0,L344-Metadata!$H$8)/(Metadata!$H$8-Metadata!$G$8),"Missing input")</f>
        <v>3.9331795798790752E-2</v>
      </c>
    </row>
    <row r="345" spans="1:55" x14ac:dyDescent="0.2">
      <c r="A345" t="s">
        <v>426</v>
      </c>
      <c r="B345" t="s">
        <v>423</v>
      </c>
      <c r="C345" t="s">
        <v>84</v>
      </c>
      <c r="D345" t="s">
        <v>55</v>
      </c>
      <c r="E345" t="s">
        <v>56</v>
      </c>
      <c r="F345">
        <v>4</v>
      </c>
      <c r="G345">
        <v>40.065365059576777</v>
      </c>
      <c r="H345">
        <v>25.23064360495534</v>
      </c>
      <c r="I345">
        <v>1.57</v>
      </c>
      <c r="J345">
        <v>1.5</v>
      </c>
      <c r="K345">
        <v>0.95</v>
      </c>
      <c r="L345">
        <v>0.05</v>
      </c>
      <c r="M345">
        <v>10</v>
      </c>
      <c r="N345">
        <v>110</v>
      </c>
      <c r="Q345">
        <v>0.95199777381508888</v>
      </c>
      <c r="R345">
        <v>2986346.165161836</v>
      </c>
      <c r="S345">
        <v>-5.6457125478552818E-3</v>
      </c>
      <c r="T345">
        <v>1323.2635029237761</v>
      </c>
      <c r="U345">
        <v>402.90654267010871</v>
      </c>
      <c r="V345">
        <v>292.75741215127789</v>
      </c>
      <c r="W345">
        <v>1.3762471109080341</v>
      </c>
      <c r="X345" t="s">
        <v>57</v>
      </c>
      <c r="Z345">
        <v>790.298</v>
      </c>
      <c r="AA345">
        <v>95.163399999999996</v>
      </c>
      <c r="AB345">
        <v>44.910200000000003</v>
      </c>
      <c r="AC345">
        <v>16.287501126609449</v>
      </c>
      <c r="AD345">
        <v>56.008196661449219</v>
      </c>
      <c r="AE345">
        <v>56.008196661449219</v>
      </c>
      <c r="AF345" t="s">
        <v>58</v>
      </c>
      <c r="AG345" t="b">
        <v>1</v>
      </c>
      <c r="AH345">
        <v>3.43872250421194</v>
      </c>
      <c r="AI345">
        <v>787.32100000000003</v>
      </c>
      <c r="AJ345">
        <v>91.310100000000006</v>
      </c>
      <c r="AK345">
        <v>45.9178</v>
      </c>
      <c r="AL345">
        <v>15.981933552251739</v>
      </c>
      <c r="AM345">
        <v>55.470992785299813</v>
      </c>
      <c r="AN345">
        <v>55.470992785299813</v>
      </c>
      <c r="AO345" t="s">
        <v>58</v>
      </c>
      <c r="AP345" t="b">
        <v>1</v>
      </c>
      <c r="AQ345">
        <v>3.4708561766911079</v>
      </c>
      <c r="AR345">
        <v>790.298</v>
      </c>
      <c r="AS345">
        <v>56.008196661449219</v>
      </c>
      <c r="AT345">
        <v>3.4708561766911079</v>
      </c>
      <c r="AU345" s="5">
        <v>41.838122906102569</v>
      </c>
      <c r="AV345" s="5">
        <v>59.760745837766315</v>
      </c>
      <c r="AW345" s="5">
        <v>2.5927295639882577</v>
      </c>
      <c r="AX345" s="5">
        <v>3.7034035405294121</v>
      </c>
      <c r="AY345" t="s">
        <v>64</v>
      </c>
      <c r="AZ345" t="s">
        <v>11</v>
      </c>
      <c r="BA345" s="23">
        <f t="shared" si="5"/>
        <v>3.9331795798790752E-2</v>
      </c>
      <c r="BB345" s="23">
        <f>IF(AND(ISNUMBER(H345),Metadata!$H$5&gt;Metadata!$G$5),MAX(Metadata!$G$5-H345,0,H345-Metadata!$H$5)/(Metadata!$H$5-Metadata!$G$5),"Missing input")</f>
        <v>0</v>
      </c>
      <c r="BC345" s="23">
        <f>IF(AND(ISNUMBER(L345),Metadata!$H$8&gt;Metadata!$G$8),MAX(Metadata!$G$8-L345,0,L345-Metadata!$H$8)/(Metadata!$H$8-Metadata!$G$8),"Missing input")</f>
        <v>3.9331795798790752E-2</v>
      </c>
    </row>
    <row r="346" spans="1:55" x14ac:dyDescent="0.2">
      <c r="A346" t="s">
        <v>427</v>
      </c>
      <c r="B346" t="s">
        <v>423</v>
      </c>
      <c r="C346" t="s">
        <v>84</v>
      </c>
      <c r="D346" t="s">
        <v>55</v>
      </c>
      <c r="E346" t="s">
        <v>56</v>
      </c>
      <c r="F346">
        <v>5</v>
      </c>
      <c r="G346">
        <v>44.691650234033148</v>
      </c>
      <c r="H346">
        <v>35.278860063057749</v>
      </c>
      <c r="I346">
        <v>1.57</v>
      </c>
      <c r="J346">
        <v>1.5</v>
      </c>
      <c r="K346">
        <v>0.95</v>
      </c>
      <c r="L346">
        <v>0.05</v>
      </c>
      <c r="M346">
        <v>10</v>
      </c>
      <c r="N346">
        <v>110</v>
      </c>
      <c r="Q346">
        <v>0.95199777381508888</v>
      </c>
      <c r="R346">
        <v>4683732.748780732</v>
      </c>
      <c r="S346">
        <v>-6.172604218082068E-3</v>
      </c>
      <c r="T346">
        <v>2061.9786008310161</v>
      </c>
      <c r="U346">
        <v>420.61586698098569</v>
      </c>
      <c r="V346">
        <v>456.18995593606547</v>
      </c>
      <c r="W346">
        <v>0.9220191315214632</v>
      </c>
      <c r="X346" t="s">
        <v>87</v>
      </c>
      <c r="Z346">
        <v>928.76700000000005</v>
      </c>
      <c r="AA346">
        <v>95.163399999999996</v>
      </c>
      <c r="AB346">
        <v>36.801699999999997</v>
      </c>
      <c r="AC346">
        <v>15.362038869480161</v>
      </c>
      <c r="AD346">
        <v>39.997902674488941</v>
      </c>
      <c r="AE346">
        <v>39.997902674488941</v>
      </c>
      <c r="AF346" t="s">
        <v>58</v>
      </c>
      <c r="AG346" t="b">
        <v>1</v>
      </c>
      <c r="AH346">
        <v>2.603684511823035</v>
      </c>
      <c r="AI346">
        <v>924.36099999999999</v>
      </c>
      <c r="AJ346">
        <v>91.310100000000006</v>
      </c>
      <c r="AK346">
        <v>36.219900000000003</v>
      </c>
      <c r="AL346">
        <v>14.71474657041772</v>
      </c>
      <c r="AM346">
        <v>39.504442056939759</v>
      </c>
      <c r="AN346">
        <v>39.504442056939759</v>
      </c>
      <c r="AO346" t="s">
        <v>58</v>
      </c>
      <c r="AP346" t="b">
        <v>1</v>
      </c>
      <c r="AQ346">
        <v>2.68468382162686</v>
      </c>
      <c r="AR346">
        <v>928.76700000000005</v>
      </c>
      <c r="AS346">
        <v>39.997902674488941</v>
      </c>
      <c r="AT346">
        <v>2.68468382162686</v>
      </c>
      <c r="AU346" s="5" t="s">
        <v>88</v>
      </c>
      <c r="AV346" s="5" t="s">
        <v>88</v>
      </c>
      <c r="AW346" s="5" t="s">
        <v>88</v>
      </c>
      <c r="AX346" s="5" t="s">
        <v>88</v>
      </c>
      <c r="AY346" t="s">
        <v>64</v>
      </c>
      <c r="AZ346" t="s">
        <v>11</v>
      </c>
      <c r="BA346" s="23">
        <f t="shared" si="5"/>
        <v>3.9331795798790752E-2</v>
      </c>
      <c r="BB346" s="23">
        <f>IF(AND(ISNUMBER(H346),Metadata!$H$5&gt;Metadata!$G$5),MAX(Metadata!$G$5-H346,0,H346-Metadata!$H$5)/(Metadata!$H$5-Metadata!$G$5),"Missing input")</f>
        <v>0</v>
      </c>
      <c r="BC346" s="23">
        <f>IF(AND(ISNUMBER(L346),Metadata!$H$8&gt;Metadata!$G$8),MAX(Metadata!$G$8-L346,0,L346-Metadata!$H$8)/(Metadata!$H$8-Metadata!$G$8),"Missing input")</f>
        <v>3.9331795798790752E-2</v>
      </c>
    </row>
    <row r="347" spans="1:55" x14ac:dyDescent="0.2">
      <c r="A347" t="s">
        <v>428</v>
      </c>
      <c r="B347" t="s">
        <v>423</v>
      </c>
      <c r="C347" t="s">
        <v>84</v>
      </c>
      <c r="D347" t="s">
        <v>55</v>
      </c>
      <c r="E347" t="s">
        <v>56</v>
      </c>
      <c r="F347">
        <v>6</v>
      </c>
      <c r="G347">
        <v>33.086500490231572</v>
      </c>
      <c r="H347">
        <v>19.79580616436397</v>
      </c>
      <c r="I347">
        <v>1.57</v>
      </c>
      <c r="J347">
        <v>1.5</v>
      </c>
      <c r="K347">
        <v>0.95</v>
      </c>
      <c r="L347">
        <v>0.05</v>
      </c>
      <c r="M347">
        <v>10</v>
      </c>
      <c r="N347">
        <v>110</v>
      </c>
      <c r="Q347">
        <v>0.95199777381508888</v>
      </c>
      <c r="R347">
        <v>1918643.176085273</v>
      </c>
      <c r="S347">
        <v>-5.0508296820694241E-3</v>
      </c>
      <c r="T347">
        <v>915.0391797947683</v>
      </c>
      <c r="U347">
        <v>374.12836023116557</v>
      </c>
      <c r="V347">
        <v>202.44229641477179</v>
      </c>
      <c r="W347">
        <v>1.848074077685014</v>
      </c>
      <c r="X347" t="s">
        <v>57</v>
      </c>
      <c r="Z347">
        <v>633.11</v>
      </c>
      <c r="AA347">
        <v>95.149600000000007</v>
      </c>
      <c r="AB347">
        <v>37.809100000000001</v>
      </c>
      <c r="AC347">
        <v>16.169297688104241</v>
      </c>
      <c r="AE347">
        <v>95.149600000000007</v>
      </c>
      <c r="AF347" t="s">
        <v>62</v>
      </c>
      <c r="AG347" t="b">
        <v>0</v>
      </c>
      <c r="AH347">
        <v>5.8845845895954767</v>
      </c>
      <c r="AI347">
        <v>634.40499999999997</v>
      </c>
      <c r="AJ347">
        <v>91.323899999999995</v>
      </c>
      <c r="AK347">
        <v>39.358900000000013</v>
      </c>
      <c r="AL347">
        <v>16.058939892904949</v>
      </c>
      <c r="AM347">
        <v>76.38996672897197</v>
      </c>
      <c r="AN347">
        <v>76.38996672897197</v>
      </c>
      <c r="AO347" t="s">
        <v>58</v>
      </c>
      <c r="AP347" t="b">
        <v>1</v>
      </c>
      <c r="AQ347">
        <v>4.7568499065571599</v>
      </c>
      <c r="AR347">
        <v>634.40499999999997</v>
      </c>
      <c r="AS347">
        <v>95.149600000000007</v>
      </c>
      <c r="AT347">
        <v>5.8845845895954767</v>
      </c>
      <c r="AU347" s="5">
        <v>71.076751200000004</v>
      </c>
      <c r="AV347" s="5">
        <v>101.52462320000001</v>
      </c>
      <c r="AW347" s="5">
        <v>4.3957846884278213</v>
      </c>
      <c r="AX347" s="5">
        <v>6.2788517570983737</v>
      </c>
      <c r="AY347" t="s">
        <v>64</v>
      </c>
      <c r="AZ347" t="s">
        <v>11</v>
      </c>
      <c r="BA347" s="23">
        <f t="shared" si="5"/>
        <v>3.9331795798790752E-2</v>
      </c>
      <c r="BB347" s="23">
        <f>IF(AND(ISNUMBER(H347),Metadata!$H$5&gt;Metadata!$G$5),MAX(Metadata!$G$5-H347,0,H347-Metadata!$H$5)/(Metadata!$H$5-Metadata!$G$5),"Missing input")</f>
        <v>0</v>
      </c>
      <c r="BC347" s="23">
        <f>IF(AND(ISNUMBER(L347),Metadata!$H$8&gt;Metadata!$G$8),MAX(Metadata!$G$8-L347,0,L347-Metadata!$H$8)/(Metadata!$H$8-Metadata!$G$8),"Missing input")</f>
        <v>3.9331795798790752E-2</v>
      </c>
    </row>
    <row r="348" spans="1:55" x14ac:dyDescent="0.2">
      <c r="A348" t="s">
        <v>429</v>
      </c>
      <c r="B348" t="s">
        <v>423</v>
      </c>
      <c r="C348" t="s">
        <v>84</v>
      </c>
      <c r="D348" t="s">
        <v>55</v>
      </c>
      <c r="E348" t="s">
        <v>56</v>
      </c>
      <c r="F348">
        <v>7</v>
      </c>
      <c r="G348">
        <v>42.943727860216583</v>
      </c>
      <c r="H348">
        <v>31.604415760045629</v>
      </c>
      <c r="I348">
        <v>1.57</v>
      </c>
      <c r="J348">
        <v>1.5</v>
      </c>
      <c r="K348">
        <v>0.95</v>
      </c>
      <c r="L348">
        <v>0.05</v>
      </c>
      <c r="M348">
        <v>10</v>
      </c>
      <c r="N348">
        <v>110</v>
      </c>
      <c r="Q348">
        <v>0.95199777381508888</v>
      </c>
      <c r="R348">
        <v>4025355.613741619</v>
      </c>
      <c r="S348">
        <v>-6.0629267328340198E-3</v>
      </c>
      <c r="T348">
        <v>1767.125197942283</v>
      </c>
      <c r="U348">
        <v>414.03778154637018</v>
      </c>
      <c r="V348">
        <v>390.95690219962017</v>
      </c>
      <c r="W348">
        <v>1.059036889275752</v>
      </c>
      <c r="X348" t="s">
        <v>87</v>
      </c>
      <c r="Z348">
        <v>878.71100000000001</v>
      </c>
      <c r="AA348">
        <v>95.163399999999996</v>
      </c>
      <c r="AB348">
        <v>37.809100000000001</v>
      </c>
      <c r="AC348">
        <v>15.58555837400854</v>
      </c>
      <c r="AD348">
        <v>45.043054974822702</v>
      </c>
      <c r="AE348">
        <v>45.043054974822702</v>
      </c>
      <c r="AF348" t="s">
        <v>58</v>
      </c>
      <c r="AG348" t="b">
        <v>1</v>
      </c>
      <c r="AH348">
        <v>2.8900507696881328</v>
      </c>
      <c r="AI348">
        <v>881.024</v>
      </c>
      <c r="AJ348">
        <v>91.310100000000006</v>
      </c>
      <c r="AK348">
        <v>39.358900000000013</v>
      </c>
      <c r="AL348">
        <v>15.289282397003751</v>
      </c>
      <c r="AM348">
        <v>44.398214917242832</v>
      </c>
      <c r="AN348">
        <v>44.398214917242832</v>
      </c>
      <c r="AO348" t="s">
        <v>58</v>
      </c>
      <c r="AP348" t="b">
        <v>1</v>
      </c>
      <c r="AQ348">
        <v>2.903878270045138</v>
      </c>
      <c r="AR348">
        <v>881.024</v>
      </c>
      <c r="AS348">
        <v>45.043054974822702</v>
      </c>
      <c r="AT348">
        <v>2.903878270045138</v>
      </c>
      <c r="AU348" s="5" t="s">
        <v>88</v>
      </c>
      <c r="AV348" s="5" t="s">
        <v>88</v>
      </c>
      <c r="AW348" s="5" t="s">
        <v>88</v>
      </c>
      <c r="AX348" s="5" t="s">
        <v>88</v>
      </c>
      <c r="AY348" t="s">
        <v>64</v>
      </c>
      <c r="AZ348" t="s">
        <v>11</v>
      </c>
      <c r="BA348" s="23">
        <f t="shared" si="5"/>
        <v>3.9331795798790752E-2</v>
      </c>
      <c r="BB348" s="23">
        <f>IF(AND(ISNUMBER(H348),Metadata!$H$5&gt;Metadata!$G$5),MAX(Metadata!$G$5-H348,0,H348-Metadata!$H$5)/(Metadata!$H$5-Metadata!$G$5),"Missing input")</f>
        <v>0</v>
      </c>
      <c r="BC348" s="23">
        <f>IF(AND(ISNUMBER(L348),Metadata!$H$8&gt;Metadata!$G$8),MAX(Metadata!$G$8-L348,0,L348-Metadata!$H$8)/(Metadata!$H$8-Metadata!$G$8),"Missing input")</f>
        <v>3.9331795798790752E-2</v>
      </c>
    </row>
    <row r="349" spans="1:55" x14ac:dyDescent="0.2">
      <c r="A349" t="s">
        <v>430</v>
      </c>
      <c r="B349" t="s">
        <v>423</v>
      </c>
      <c r="C349" t="s">
        <v>84</v>
      </c>
      <c r="D349" t="s">
        <v>55</v>
      </c>
      <c r="E349" t="s">
        <v>56</v>
      </c>
      <c r="F349">
        <v>8</v>
      </c>
      <c r="G349">
        <v>29.155454969686971</v>
      </c>
      <c r="H349">
        <v>7.3398505058277053</v>
      </c>
      <c r="I349">
        <v>1.57</v>
      </c>
      <c r="J349">
        <v>1.5</v>
      </c>
      <c r="K349">
        <v>0.95</v>
      </c>
      <c r="L349">
        <v>0.05</v>
      </c>
      <c r="M349">
        <v>10</v>
      </c>
      <c r="N349">
        <v>110</v>
      </c>
      <c r="Q349">
        <v>0.95199777381508888</v>
      </c>
      <c r="R349">
        <v>595711.36772068124</v>
      </c>
      <c r="S349">
        <v>-3.2074335271986489E-3</v>
      </c>
      <c r="T349">
        <v>480.50831710260849</v>
      </c>
      <c r="U349">
        <v>356.56616392634919</v>
      </c>
      <c r="V349">
        <v>106.3071498014621</v>
      </c>
      <c r="W349">
        <v>3.3541127251766958</v>
      </c>
      <c r="X349" t="s">
        <v>57</v>
      </c>
      <c r="Z349">
        <v>443.185</v>
      </c>
      <c r="AA349">
        <v>95.163399999999996</v>
      </c>
      <c r="AB349">
        <v>51.296399999999998</v>
      </c>
      <c r="AC349">
        <v>17.280404641612741</v>
      </c>
      <c r="AE349">
        <v>95.163399999999996</v>
      </c>
      <c r="AF349" t="s">
        <v>62</v>
      </c>
      <c r="AG349" t="b">
        <v>0</v>
      </c>
      <c r="AH349">
        <v>5.5070122473196088</v>
      </c>
      <c r="AI349">
        <v>437.26400000000001</v>
      </c>
      <c r="AJ349">
        <v>91.310100000000006</v>
      </c>
      <c r="AK349">
        <v>64.811499999999995</v>
      </c>
      <c r="AL349">
        <v>16.629450551121241</v>
      </c>
      <c r="AN349">
        <v>91.310100000000006</v>
      </c>
      <c r="AO349" t="s">
        <v>62</v>
      </c>
      <c r="AP349" t="b">
        <v>0</v>
      </c>
      <c r="AQ349">
        <v>5.4908669242738988</v>
      </c>
      <c r="AR349">
        <v>443.185</v>
      </c>
      <c r="AS349">
        <v>95.163399999999996</v>
      </c>
      <c r="AT349">
        <v>5.5070122473196088</v>
      </c>
      <c r="AU349" s="5">
        <v>71.087059799999992</v>
      </c>
      <c r="AV349" s="5">
        <v>101.53934779999999</v>
      </c>
      <c r="AW349" s="5">
        <v>4.113738148747748</v>
      </c>
      <c r="AX349" s="5">
        <v>5.8759820678900221</v>
      </c>
      <c r="AY349" t="s">
        <v>64</v>
      </c>
      <c r="AZ349" t="s">
        <v>11</v>
      </c>
      <c r="BA349" s="23">
        <f t="shared" si="5"/>
        <v>3.9331795798790752E-2</v>
      </c>
      <c r="BB349" s="23">
        <f>IF(AND(ISNUMBER(H349),Metadata!$H$5&gt;Metadata!$G$5),MAX(Metadata!$G$5-H349,0,H349-Metadata!$H$5)/(Metadata!$H$5-Metadata!$G$5),"Missing input")</f>
        <v>0</v>
      </c>
      <c r="BC349" s="23">
        <f>IF(AND(ISNUMBER(L349),Metadata!$H$8&gt;Metadata!$G$8),MAX(Metadata!$G$8-L349,0,L349-Metadata!$H$8)/(Metadata!$H$8-Metadata!$G$8),"Missing input")</f>
        <v>3.9331795798790752E-2</v>
      </c>
    </row>
    <row r="350" spans="1:55" x14ac:dyDescent="0.2">
      <c r="A350" t="s">
        <v>431</v>
      </c>
      <c r="B350" t="s">
        <v>423</v>
      </c>
      <c r="C350" t="s">
        <v>84</v>
      </c>
      <c r="D350" t="s">
        <v>55</v>
      </c>
      <c r="E350" t="s">
        <v>56</v>
      </c>
      <c r="F350">
        <v>9</v>
      </c>
      <c r="G350">
        <v>59.748609235827082</v>
      </c>
      <c r="H350">
        <v>37.783512331141722</v>
      </c>
      <c r="I350">
        <v>1.57</v>
      </c>
      <c r="J350">
        <v>1.5</v>
      </c>
      <c r="K350">
        <v>0.95</v>
      </c>
      <c r="L350">
        <v>0.05</v>
      </c>
      <c r="M350">
        <v>10</v>
      </c>
      <c r="N350">
        <v>110</v>
      </c>
      <c r="Q350">
        <v>0.95199777381508888</v>
      </c>
      <c r="R350">
        <v>6726258.2664913209</v>
      </c>
      <c r="S350">
        <v>-6.2001797786834512E-3</v>
      </c>
      <c r="T350">
        <v>2958.9793454838732</v>
      </c>
      <c r="U350">
        <v>472.65571468842592</v>
      </c>
      <c r="V350">
        <v>654.64144811590108</v>
      </c>
      <c r="W350">
        <v>0.72200701017138236</v>
      </c>
      <c r="X350" t="s">
        <v>87</v>
      </c>
      <c r="Z350">
        <v>1172.17</v>
      </c>
      <c r="AA350">
        <v>94.934399999999997</v>
      </c>
      <c r="AB350">
        <v>34.786900000000003</v>
      </c>
      <c r="AC350">
        <v>15.361083513177009</v>
      </c>
      <c r="AD350">
        <v>37.664498645377734</v>
      </c>
      <c r="AE350">
        <v>37.664498645377734</v>
      </c>
      <c r="AF350" t="s">
        <v>58</v>
      </c>
      <c r="AG350" t="b">
        <v>1</v>
      </c>
      <c r="AH350">
        <v>2.451942834180183</v>
      </c>
      <c r="AI350">
        <v>1159.43</v>
      </c>
      <c r="AJ350">
        <v>90.933599999999998</v>
      </c>
      <c r="AK350">
        <v>32.289299999999997</v>
      </c>
      <c r="AL350">
        <v>14.319026475076299</v>
      </c>
      <c r="AM350">
        <v>37.368319222139107</v>
      </c>
      <c r="AN350">
        <v>37.368319222139107</v>
      </c>
      <c r="AO350" t="s">
        <v>58</v>
      </c>
      <c r="AP350" t="b">
        <v>1</v>
      </c>
      <c r="AQ350">
        <v>2.6096969153023371</v>
      </c>
      <c r="AR350">
        <v>1172.17</v>
      </c>
      <c r="AS350">
        <v>37.664498645377734</v>
      </c>
      <c r="AT350">
        <v>2.6096969153023371</v>
      </c>
      <c r="AU350" s="5" t="s">
        <v>88</v>
      </c>
      <c r="AV350" s="5" t="s">
        <v>88</v>
      </c>
      <c r="AW350" s="5" t="s">
        <v>88</v>
      </c>
      <c r="AX350" s="5" t="s">
        <v>88</v>
      </c>
      <c r="AY350" t="s">
        <v>64</v>
      </c>
      <c r="AZ350" t="s">
        <v>11</v>
      </c>
      <c r="BA350" s="23">
        <f t="shared" si="5"/>
        <v>3.9331795798790752E-2</v>
      </c>
      <c r="BB350" s="23">
        <f>IF(AND(ISNUMBER(H350),Metadata!$H$5&gt;Metadata!$G$5),MAX(Metadata!$G$5-H350,0,H350-Metadata!$H$5)/(Metadata!$H$5-Metadata!$G$5),"Missing input")</f>
        <v>0</v>
      </c>
      <c r="BC350" s="23">
        <f>IF(AND(ISNUMBER(L350),Metadata!$H$8&gt;Metadata!$G$8),MAX(Metadata!$G$8-L350,0,L350-Metadata!$H$8)/(Metadata!$H$8-Metadata!$G$8),"Missing input")</f>
        <v>3.9331795798790752E-2</v>
      </c>
    </row>
    <row r="351" spans="1:55" x14ac:dyDescent="0.2">
      <c r="A351" t="s">
        <v>432</v>
      </c>
      <c r="B351" t="s">
        <v>423</v>
      </c>
      <c r="C351" t="s">
        <v>84</v>
      </c>
      <c r="D351" t="s">
        <v>55</v>
      </c>
      <c r="E351" t="s">
        <v>56</v>
      </c>
      <c r="F351">
        <v>10</v>
      </c>
      <c r="G351">
        <v>34.746337553007109</v>
      </c>
      <c r="H351">
        <v>23.7414613202046</v>
      </c>
      <c r="I351">
        <v>1.57</v>
      </c>
      <c r="J351">
        <v>1.5</v>
      </c>
      <c r="K351">
        <v>0.95</v>
      </c>
      <c r="L351">
        <v>0.05</v>
      </c>
      <c r="M351">
        <v>10</v>
      </c>
      <c r="N351">
        <v>110</v>
      </c>
      <c r="Q351">
        <v>0.95199777381508888</v>
      </c>
      <c r="R351">
        <v>2428507.8121004719</v>
      </c>
      <c r="S351">
        <v>-5.5038273147027918E-3</v>
      </c>
      <c r="T351">
        <v>1111.217336052197</v>
      </c>
      <c r="U351">
        <v>381.22860755592978</v>
      </c>
      <c r="V351">
        <v>245.84454337438001</v>
      </c>
      <c r="W351">
        <v>1.550689725805233</v>
      </c>
      <c r="X351" t="s">
        <v>57</v>
      </c>
      <c r="Z351">
        <v>704.93299999999999</v>
      </c>
      <c r="AA351">
        <v>95.163399999999996</v>
      </c>
      <c r="AB351">
        <v>47.540999999999997</v>
      </c>
      <c r="AC351">
        <v>16.52680827627869</v>
      </c>
      <c r="AD351">
        <v>60.659205441611377</v>
      </c>
      <c r="AE351">
        <v>60.659205441611377</v>
      </c>
      <c r="AF351" t="s">
        <v>58</v>
      </c>
      <c r="AG351" t="b">
        <v>1</v>
      </c>
      <c r="AH351">
        <v>3.670352098697542</v>
      </c>
      <c r="AI351">
        <v>702.40800000000002</v>
      </c>
      <c r="AJ351">
        <v>91.310100000000006</v>
      </c>
      <c r="AK351">
        <v>47.635399999999997</v>
      </c>
      <c r="AL351">
        <v>16.23122728442728</v>
      </c>
      <c r="AM351">
        <v>60.468173912407572</v>
      </c>
      <c r="AN351">
        <v>60.468173912407572</v>
      </c>
      <c r="AO351" t="s">
        <v>58</v>
      </c>
      <c r="AP351" t="b">
        <v>1</v>
      </c>
      <c r="AQ351">
        <v>3.7254221663461342</v>
      </c>
      <c r="AR351">
        <v>704.93299999999999</v>
      </c>
      <c r="AS351">
        <v>60.659205441611377</v>
      </c>
      <c r="AT351">
        <v>3.7254221663461342</v>
      </c>
      <c r="AU351" s="5">
        <v>45.3124264648837</v>
      </c>
      <c r="AV351" s="5">
        <v>64.723372206199329</v>
      </c>
      <c r="AW351" s="5">
        <v>2.7828903582605622</v>
      </c>
      <c r="AX351" s="5">
        <v>3.9750254514913248</v>
      </c>
      <c r="AY351" t="s">
        <v>64</v>
      </c>
      <c r="AZ351" t="s">
        <v>11</v>
      </c>
      <c r="BA351" s="23">
        <f t="shared" si="5"/>
        <v>3.9331795798790752E-2</v>
      </c>
      <c r="BB351" s="23">
        <f>IF(AND(ISNUMBER(H351),Metadata!$H$5&gt;Metadata!$G$5),MAX(Metadata!$G$5-H351,0,H351-Metadata!$H$5)/(Metadata!$H$5-Metadata!$G$5),"Missing input")</f>
        <v>0</v>
      </c>
      <c r="BC351" s="23">
        <f>IF(AND(ISNUMBER(L351),Metadata!$H$8&gt;Metadata!$G$8),MAX(Metadata!$G$8-L351,0,L351-Metadata!$H$8)/(Metadata!$H$8-Metadata!$G$8),"Missing input")</f>
        <v>3.9331795798790752E-2</v>
      </c>
    </row>
    <row r="352" spans="1:55" x14ac:dyDescent="0.2">
      <c r="A352" t="s">
        <v>433</v>
      </c>
      <c r="B352" t="s">
        <v>423</v>
      </c>
      <c r="C352" t="s">
        <v>84</v>
      </c>
      <c r="D352" t="s">
        <v>55</v>
      </c>
      <c r="E352" t="s">
        <v>56</v>
      </c>
      <c r="F352">
        <v>11</v>
      </c>
      <c r="G352">
        <v>24.502161634428251</v>
      </c>
      <c r="H352">
        <v>33.048591474592847</v>
      </c>
      <c r="I352">
        <v>1.57</v>
      </c>
      <c r="J352">
        <v>1.5</v>
      </c>
      <c r="K352">
        <v>0.95</v>
      </c>
      <c r="L352">
        <v>0.05</v>
      </c>
      <c r="M352">
        <v>10</v>
      </c>
      <c r="N352">
        <v>110</v>
      </c>
      <c r="Q352">
        <v>0.95199777381508888</v>
      </c>
      <c r="R352">
        <v>2383007.1153019848</v>
      </c>
      <c r="S352">
        <v>-6.1165303754401601E-3</v>
      </c>
      <c r="T352">
        <v>1134.971999997148</v>
      </c>
      <c r="U352">
        <v>334.16607855514201</v>
      </c>
      <c r="V352">
        <v>251.099999999369</v>
      </c>
      <c r="W352">
        <v>1.3308087556988519</v>
      </c>
      <c r="X352" t="s">
        <v>57</v>
      </c>
      <c r="Z352">
        <v>610.09900000000005</v>
      </c>
      <c r="AA352">
        <v>95.163399999999996</v>
      </c>
      <c r="AB352">
        <v>37.809100000000001</v>
      </c>
      <c r="AC352">
        <v>16.17163117595436</v>
      </c>
      <c r="AD352">
        <v>45.098747345401087</v>
      </c>
      <c r="AE352">
        <v>45.098747345401087</v>
      </c>
      <c r="AF352" t="s">
        <v>58</v>
      </c>
      <c r="AG352" t="b">
        <v>1</v>
      </c>
      <c r="AH352">
        <v>2.7887568579017881</v>
      </c>
      <c r="AI352">
        <v>608.47199999999998</v>
      </c>
      <c r="AJ352">
        <v>91.310100000000006</v>
      </c>
      <c r="AK352">
        <v>38.312600000000003</v>
      </c>
      <c r="AL352">
        <v>15.74607674919268</v>
      </c>
      <c r="AM352">
        <v>44.31125819697759</v>
      </c>
      <c r="AN352">
        <v>44.31125819697759</v>
      </c>
      <c r="AO352" t="s">
        <v>58</v>
      </c>
      <c r="AP352" t="b">
        <v>1</v>
      </c>
      <c r="AQ352">
        <v>2.814114201447004</v>
      </c>
      <c r="AR352">
        <v>610.09900000000005</v>
      </c>
      <c r="AS352">
        <v>45.098747345401087</v>
      </c>
      <c r="AT352">
        <v>2.814114201447004</v>
      </c>
      <c r="AU352" s="5">
        <v>33.688764267014612</v>
      </c>
      <c r="AV352" s="5">
        <v>48.120363417542954</v>
      </c>
      <c r="AW352" s="5">
        <v>2.1021433084809118</v>
      </c>
      <c r="AX352" s="5">
        <v>3.0026598529439532</v>
      </c>
      <c r="AY352" t="s">
        <v>64</v>
      </c>
      <c r="AZ352" t="s">
        <v>11</v>
      </c>
      <c r="BA352" s="23">
        <f t="shared" si="5"/>
        <v>3.9331795798790752E-2</v>
      </c>
      <c r="BB352" s="23">
        <f>IF(AND(ISNUMBER(H352),Metadata!$H$5&gt;Metadata!$G$5),MAX(Metadata!$G$5-H352,0,H352-Metadata!$H$5)/(Metadata!$H$5-Metadata!$G$5),"Missing input")</f>
        <v>0</v>
      </c>
      <c r="BC352" s="23">
        <f>IF(AND(ISNUMBER(L352),Metadata!$H$8&gt;Metadata!$G$8),MAX(Metadata!$G$8-L352,0,L352-Metadata!$H$8)/(Metadata!$H$8-Metadata!$G$8),"Missing input")</f>
        <v>3.9331795798790752E-2</v>
      </c>
    </row>
    <row r="353" spans="1:55" x14ac:dyDescent="0.2">
      <c r="A353" t="s">
        <v>434</v>
      </c>
      <c r="B353" t="s">
        <v>423</v>
      </c>
      <c r="C353" t="s">
        <v>84</v>
      </c>
      <c r="D353" t="s">
        <v>55</v>
      </c>
      <c r="E353" t="s">
        <v>56</v>
      </c>
      <c r="F353">
        <v>12</v>
      </c>
      <c r="G353">
        <v>56.241153781572699</v>
      </c>
      <c r="H353">
        <v>14.78764467513273</v>
      </c>
      <c r="I353">
        <v>1.57</v>
      </c>
      <c r="J353">
        <v>1.5</v>
      </c>
      <c r="K353">
        <v>0.95</v>
      </c>
      <c r="L353">
        <v>0.05</v>
      </c>
      <c r="M353">
        <v>10</v>
      </c>
      <c r="N353">
        <v>110</v>
      </c>
      <c r="Q353">
        <v>0.95199777381508888</v>
      </c>
      <c r="R353">
        <v>2448743.9197241841</v>
      </c>
      <c r="S353">
        <v>-4.3477433628844051E-3</v>
      </c>
      <c r="T353">
        <v>1060.8343060705299</v>
      </c>
      <c r="U353">
        <v>461.18138055412891</v>
      </c>
      <c r="V353">
        <v>234.69785532533859</v>
      </c>
      <c r="W353">
        <v>1.9650004040933331</v>
      </c>
      <c r="X353" t="s">
        <v>57</v>
      </c>
      <c r="Z353">
        <v>796.202</v>
      </c>
      <c r="AA353">
        <v>95.163399999999996</v>
      </c>
      <c r="AB353">
        <v>61.986899999999999</v>
      </c>
      <c r="AC353">
        <v>15.63250822719449</v>
      </c>
      <c r="AE353">
        <v>95.163399999999996</v>
      </c>
      <c r="AF353" t="s">
        <v>62</v>
      </c>
      <c r="AG353" t="b">
        <v>0</v>
      </c>
      <c r="AH353">
        <v>6.0875323791259994</v>
      </c>
      <c r="AI353">
        <v>792.428</v>
      </c>
      <c r="AJ353">
        <v>91.310100000000006</v>
      </c>
      <c r="AK353">
        <v>61.802500000000002</v>
      </c>
      <c r="AL353">
        <v>15.283944408340099</v>
      </c>
      <c r="AN353">
        <v>91.310100000000006</v>
      </c>
      <c r="AO353" t="s">
        <v>62</v>
      </c>
      <c r="AP353" t="b">
        <v>0</v>
      </c>
      <c r="AQ353">
        <v>5.9742496806108596</v>
      </c>
      <c r="AR353">
        <v>796.202</v>
      </c>
      <c r="AS353">
        <v>95.163399999999996</v>
      </c>
      <c r="AT353">
        <v>6.0875323791259994</v>
      </c>
      <c r="AU353" s="5">
        <v>71.087059799999992</v>
      </c>
      <c r="AV353" s="5">
        <v>101.53934779999999</v>
      </c>
      <c r="AW353" s="5">
        <v>4.5473866872071218</v>
      </c>
      <c r="AX353" s="5">
        <v>6.4953970485274413</v>
      </c>
      <c r="AY353" t="s">
        <v>64</v>
      </c>
      <c r="AZ353" t="s">
        <v>11</v>
      </c>
      <c r="BA353" s="23">
        <f t="shared" si="5"/>
        <v>3.9331795798790752E-2</v>
      </c>
      <c r="BB353" s="23">
        <f>IF(AND(ISNUMBER(H353),Metadata!$H$5&gt;Metadata!$G$5),MAX(Metadata!$G$5-H353,0,H353-Metadata!$H$5)/(Metadata!$H$5-Metadata!$G$5),"Missing input")</f>
        <v>0</v>
      </c>
      <c r="BC353" s="23">
        <f>IF(AND(ISNUMBER(L353),Metadata!$H$8&gt;Metadata!$G$8),MAX(Metadata!$G$8-L353,0,L353-Metadata!$H$8)/(Metadata!$H$8-Metadata!$G$8),"Missing input")</f>
        <v>3.9331795798790752E-2</v>
      </c>
    </row>
    <row r="354" spans="1:55" x14ac:dyDescent="0.2">
      <c r="A354" t="s">
        <v>435</v>
      </c>
      <c r="B354" t="s">
        <v>423</v>
      </c>
      <c r="C354" t="s">
        <v>84</v>
      </c>
      <c r="D354" t="s">
        <v>55</v>
      </c>
      <c r="E354" t="s">
        <v>56</v>
      </c>
      <c r="F354">
        <v>13</v>
      </c>
      <c r="G354">
        <v>49.119901382435643</v>
      </c>
      <c r="H354">
        <v>22.54933477691009</v>
      </c>
      <c r="I354">
        <v>1.57</v>
      </c>
      <c r="J354">
        <v>1.5</v>
      </c>
      <c r="K354">
        <v>0.95</v>
      </c>
      <c r="L354">
        <v>0.05</v>
      </c>
      <c r="M354">
        <v>10</v>
      </c>
      <c r="N354">
        <v>110</v>
      </c>
      <c r="Q354">
        <v>0.95199777381508888</v>
      </c>
      <c r="R354">
        <v>3276584.6264440492</v>
      </c>
      <c r="S354">
        <v>-5.3783576564552177E-3</v>
      </c>
      <c r="T354">
        <v>1412.968799359719</v>
      </c>
      <c r="U354">
        <v>436.72679835857213</v>
      </c>
      <c r="V354">
        <v>312.60371667250428</v>
      </c>
      <c r="W354">
        <v>1.3970620791310171</v>
      </c>
      <c r="X354" t="s">
        <v>57</v>
      </c>
      <c r="Z354">
        <v>876.09100000000001</v>
      </c>
      <c r="AA354">
        <v>95.163399999999996</v>
      </c>
      <c r="AB354">
        <v>49.589399999999998</v>
      </c>
      <c r="AC354">
        <v>16.236895488165679</v>
      </c>
      <c r="AD354">
        <v>63.671719529924921</v>
      </c>
      <c r="AE354">
        <v>63.671719529924921</v>
      </c>
      <c r="AF354" t="s">
        <v>58</v>
      </c>
      <c r="AG354" t="b">
        <v>1</v>
      </c>
      <c r="AH354">
        <v>3.9214220216131999</v>
      </c>
      <c r="AI354">
        <v>871.54</v>
      </c>
      <c r="AJ354">
        <v>91.310100000000006</v>
      </c>
      <c r="AK354">
        <v>49.6965</v>
      </c>
      <c r="AL354">
        <v>15.9279515926893</v>
      </c>
      <c r="AM354">
        <v>63.090089242282502</v>
      </c>
      <c r="AN354">
        <v>63.090089242282502</v>
      </c>
      <c r="AO354" t="s">
        <v>58</v>
      </c>
      <c r="AP354" t="b">
        <v>1</v>
      </c>
      <c r="AQ354">
        <v>3.9609669124835838</v>
      </c>
      <c r="AR354">
        <v>876.09100000000001</v>
      </c>
      <c r="AS354">
        <v>63.671719529924921</v>
      </c>
      <c r="AT354">
        <v>3.9609669124835838</v>
      </c>
      <c r="AU354" s="5">
        <v>47.562774488853918</v>
      </c>
      <c r="AV354" s="5">
        <v>67.937724738429893</v>
      </c>
      <c r="AW354" s="5">
        <v>2.9588422836252373</v>
      </c>
      <c r="AX354" s="5">
        <v>4.226351695619984</v>
      </c>
      <c r="AY354" t="s">
        <v>64</v>
      </c>
      <c r="AZ354" t="s">
        <v>11</v>
      </c>
      <c r="BA354" s="23">
        <f t="shared" si="5"/>
        <v>3.9331795798790752E-2</v>
      </c>
      <c r="BB354" s="23">
        <f>IF(AND(ISNUMBER(H354),Metadata!$H$5&gt;Metadata!$G$5),MAX(Metadata!$G$5-H354,0,H354-Metadata!$H$5)/(Metadata!$H$5-Metadata!$G$5),"Missing input")</f>
        <v>0</v>
      </c>
      <c r="BC354" s="23">
        <f>IF(AND(ISNUMBER(L354),Metadata!$H$8&gt;Metadata!$G$8),MAX(Metadata!$G$8-L354,0,L354-Metadata!$H$8)/(Metadata!$H$8-Metadata!$G$8),"Missing input")</f>
        <v>3.9331795798790752E-2</v>
      </c>
    </row>
    <row r="355" spans="1:55" x14ac:dyDescent="0.2">
      <c r="A355" t="s">
        <v>436</v>
      </c>
      <c r="B355" t="s">
        <v>423</v>
      </c>
      <c r="C355" t="s">
        <v>84</v>
      </c>
      <c r="D355" t="s">
        <v>55</v>
      </c>
      <c r="E355" t="s">
        <v>56</v>
      </c>
      <c r="F355">
        <v>14</v>
      </c>
      <c r="G355">
        <v>37.958866376576751</v>
      </c>
      <c r="H355">
        <v>9.8264864335603903</v>
      </c>
      <c r="I355">
        <v>1.57</v>
      </c>
      <c r="J355">
        <v>1.5</v>
      </c>
      <c r="K355">
        <v>0.95</v>
      </c>
      <c r="L355">
        <v>0.05</v>
      </c>
      <c r="M355">
        <v>10</v>
      </c>
      <c r="N355">
        <v>110</v>
      </c>
      <c r="Q355">
        <v>0.95199777381508888</v>
      </c>
      <c r="R355">
        <v>1072728.181448289</v>
      </c>
      <c r="S355">
        <v>-3.5852736894111839E-3</v>
      </c>
      <c r="T355">
        <v>610.81355109044614</v>
      </c>
      <c r="U355">
        <v>394.50456499311781</v>
      </c>
      <c r="V355">
        <v>135.13574139169171</v>
      </c>
      <c r="W355">
        <v>2.919320684005013</v>
      </c>
      <c r="X355" t="s">
        <v>57</v>
      </c>
      <c r="Z355">
        <v>541.00199999999995</v>
      </c>
      <c r="AA355">
        <v>95.163399999999996</v>
      </c>
      <c r="AB355">
        <v>65.006200000000007</v>
      </c>
      <c r="AC355">
        <v>16.489003687782802</v>
      </c>
      <c r="AE355">
        <v>95.163399999999996</v>
      </c>
      <c r="AF355" t="s">
        <v>62</v>
      </c>
      <c r="AG355" t="b">
        <v>0</v>
      </c>
      <c r="AH355">
        <v>5.7713250480081717</v>
      </c>
      <c r="AI355">
        <v>536.94399999999996</v>
      </c>
      <c r="AJ355">
        <v>91.310100000000006</v>
      </c>
      <c r="AK355">
        <v>64.811499999999995</v>
      </c>
      <c r="AL355">
        <v>16.028477698355971</v>
      </c>
      <c r="AN355">
        <v>91.310100000000006</v>
      </c>
      <c r="AO355" t="s">
        <v>62</v>
      </c>
      <c r="AP355" t="b">
        <v>0</v>
      </c>
      <c r="AQ355">
        <v>5.6967418689652378</v>
      </c>
      <c r="AR355">
        <v>541.00199999999995</v>
      </c>
      <c r="AS355">
        <v>95.163399999999996</v>
      </c>
      <c r="AT355">
        <v>5.7713250480081717</v>
      </c>
      <c r="AU355" s="5">
        <v>71.087059799999992</v>
      </c>
      <c r="AV355" s="5">
        <v>101.53934779999999</v>
      </c>
      <c r="AW355" s="5">
        <v>4.3111798108621047</v>
      </c>
      <c r="AX355" s="5">
        <v>6.1580038262247188</v>
      </c>
      <c r="AY355" t="s">
        <v>64</v>
      </c>
      <c r="AZ355" t="s">
        <v>11</v>
      </c>
      <c r="BA355" s="23">
        <f t="shared" si="5"/>
        <v>3.9331795798790752E-2</v>
      </c>
      <c r="BB355" s="23">
        <f>IF(AND(ISNUMBER(H355),Metadata!$H$5&gt;Metadata!$G$5),MAX(Metadata!$G$5-H355,0,H355-Metadata!$H$5)/(Metadata!$H$5-Metadata!$G$5),"Missing input")</f>
        <v>0</v>
      </c>
      <c r="BC355" s="23">
        <f>IF(AND(ISNUMBER(L355),Metadata!$H$8&gt;Metadata!$G$8),MAX(Metadata!$G$8-L355,0,L355-Metadata!$H$8)/(Metadata!$H$8-Metadata!$G$8),"Missing input")</f>
        <v>3.9331795798790752E-2</v>
      </c>
    </row>
    <row r="356" spans="1:55" x14ac:dyDescent="0.2">
      <c r="A356" t="s">
        <v>437</v>
      </c>
      <c r="B356" t="s">
        <v>423</v>
      </c>
      <c r="C356" t="s">
        <v>84</v>
      </c>
      <c r="D356" t="s">
        <v>55</v>
      </c>
      <c r="E356" t="s">
        <v>56</v>
      </c>
      <c r="F356">
        <v>15</v>
      </c>
      <c r="G356">
        <v>27.308053040943211</v>
      </c>
      <c r="H356">
        <v>5.2772178758296739</v>
      </c>
      <c r="I356">
        <v>1.57</v>
      </c>
      <c r="J356">
        <v>1.5</v>
      </c>
      <c r="K356">
        <v>0.95</v>
      </c>
      <c r="L356">
        <v>0.05</v>
      </c>
      <c r="M356">
        <v>10</v>
      </c>
      <c r="N356">
        <v>110</v>
      </c>
      <c r="Q356">
        <v>0.95199777381508888</v>
      </c>
      <c r="R356">
        <v>386052.96198531118</v>
      </c>
      <c r="S356">
        <v>-2.9064887963922269E-3</v>
      </c>
      <c r="T356">
        <v>428.52672237905682</v>
      </c>
      <c r="U356">
        <v>347.90390616620681</v>
      </c>
      <c r="V356">
        <v>94.806796986516986</v>
      </c>
      <c r="W356">
        <v>3.6696093236404161</v>
      </c>
      <c r="X356" t="s">
        <v>57</v>
      </c>
      <c r="Z356">
        <v>403.47</v>
      </c>
      <c r="AA356">
        <v>95.163399999999996</v>
      </c>
      <c r="AB356">
        <v>51.296399999999998</v>
      </c>
      <c r="AC356">
        <v>17.566191670951159</v>
      </c>
      <c r="AE356">
        <v>95.163399999999996</v>
      </c>
      <c r="AF356" t="s">
        <v>62</v>
      </c>
      <c r="AG356" t="b">
        <v>0</v>
      </c>
      <c r="AH356">
        <v>5.4174178320830739</v>
      </c>
      <c r="AI356">
        <v>397.62700000000001</v>
      </c>
      <c r="AJ356">
        <v>87.072100000000006</v>
      </c>
      <c r="AK356">
        <v>39.358900000000013</v>
      </c>
      <c r="AL356">
        <v>16.83774760007773</v>
      </c>
      <c r="AN356">
        <v>87.072100000000006</v>
      </c>
      <c r="AO356" t="s">
        <v>62</v>
      </c>
      <c r="AP356" t="b">
        <v>0</v>
      </c>
      <c r="AQ356">
        <v>5.1712439257373131</v>
      </c>
      <c r="AR356">
        <v>403.47</v>
      </c>
      <c r="AS356">
        <v>95.163399999999996</v>
      </c>
      <c r="AT356">
        <v>5.4174178320830739</v>
      </c>
      <c r="AU356" s="5">
        <v>71.087059799999992</v>
      </c>
      <c r="AV356" s="5">
        <v>101.53934779999999</v>
      </c>
      <c r="AW356" s="5">
        <v>4.0468111205660566</v>
      </c>
      <c r="AX356" s="5">
        <v>5.7803848268326394</v>
      </c>
      <c r="AY356" t="s">
        <v>64</v>
      </c>
      <c r="AZ356" t="s">
        <v>11</v>
      </c>
      <c r="BA356" s="23">
        <f t="shared" si="5"/>
        <v>3.9331795798790752E-2</v>
      </c>
      <c r="BB356" s="23">
        <f>IF(AND(ISNUMBER(H356),Metadata!$H$5&gt;Metadata!$G$5),MAX(Metadata!$G$5-H356,0,H356-Metadata!$H$5)/(Metadata!$H$5-Metadata!$G$5),"Missing input")</f>
        <v>0</v>
      </c>
      <c r="BC356" s="23">
        <f>IF(AND(ISNUMBER(L356),Metadata!$H$8&gt;Metadata!$G$8),MAX(Metadata!$G$8-L356,0,L356-Metadata!$H$8)/(Metadata!$H$8-Metadata!$G$8),"Missing input")</f>
        <v>3.9331795798790752E-2</v>
      </c>
    </row>
    <row r="357" spans="1:55" x14ac:dyDescent="0.2">
      <c r="A357" t="s">
        <v>438</v>
      </c>
      <c r="B357" t="s">
        <v>423</v>
      </c>
      <c r="C357" t="s">
        <v>84</v>
      </c>
      <c r="D357" t="s">
        <v>55</v>
      </c>
      <c r="E357" t="s">
        <v>56</v>
      </c>
      <c r="F357">
        <v>16</v>
      </c>
      <c r="G357">
        <v>31.1252119640606</v>
      </c>
      <c r="H357">
        <v>39.5069074866867</v>
      </c>
      <c r="I357">
        <v>1.57</v>
      </c>
      <c r="J357">
        <v>1.5</v>
      </c>
      <c r="K357">
        <v>0.95</v>
      </c>
      <c r="L357">
        <v>0.05</v>
      </c>
      <c r="M357">
        <v>10</v>
      </c>
      <c r="N357">
        <v>110</v>
      </c>
      <c r="Q357">
        <v>0.95199777381508888</v>
      </c>
      <c r="R357">
        <v>3642703.933702969</v>
      </c>
      <c r="S357">
        <v>-6.1994429568185917E-3</v>
      </c>
      <c r="T357">
        <v>1657.5346780090949</v>
      </c>
      <c r="U357">
        <v>365.50492061322012</v>
      </c>
      <c r="V357">
        <v>366.71121194891492</v>
      </c>
      <c r="W357">
        <v>0.9967105141692183</v>
      </c>
      <c r="X357" t="s">
        <v>87</v>
      </c>
      <c r="Z357">
        <v>725.86699999999996</v>
      </c>
      <c r="AA357">
        <v>95.163399999999996</v>
      </c>
      <c r="AB357">
        <v>33.779499999999999</v>
      </c>
      <c r="AC357">
        <v>14.89087902815468</v>
      </c>
      <c r="AD357">
        <v>37.836527841204202</v>
      </c>
      <c r="AE357">
        <v>37.836527841204202</v>
      </c>
      <c r="AF357" t="s">
        <v>58</v>
      </c>
      <c r="AG357" t="b">
        <v>1</v>
      </c>
      <c r="AH357">
        <v>2.5409196978677628</v>
      </c>
      <c r="AI357">
        <v>723.53499999999997</v>
      </c>
      <c r="AJ357">
        <v>91.310100000000006</v>
      </c>
      <c r="AK357">
        <v>32.289299999999997</v>
      </c>
      <c r="AL357">
        <v>14.17264312849162</v>
      </c>
      <c r="AM357">
        <v>37.228105989159488</v>
      </c>
      <c r="AN357">
        <v>37.228105989159488</v>
      </c>
      <c r="AO357" t="s">
        <v>58</v>
      </c>
      <c r="AP357" t="b">
        <v>1</v>
      </c>
      <c r="AQ357">
        <v>2.6267581601852998</v>
      </c>
      <c r="AR357">
        <v>725.86699999999996</v>
      </c>
      <c r="AS357">
        <v>37.836527841204202</v>
      </c>
      <c r="AT357">
        <v>2.6267581601852998</v>
      </c>
      <c r="AU357" s="5" t="s">
        <v>88</v>
      </c>
      <c r="AV357" s="5" t="s">
        <v>88</v>
      </c>
      <c r="AW357" s="5" t="s">
        <v>88</v>
      </c>
      <c r="AX357" s="5" t="s">
        <v>88</v>
      </c>
      <c r="AY357" t="s">
        <v>64</v>
      </c>
      <c r="AZ357" t="s">
        <v>11</v>
      </c>
      <c r="BA357" s="23">
        <f t="shared" si="5"/>
        <v>3.9331795798790752E-2</v>
      </c>
      <c r="BB357" s="23">
        <f>IF(AND(ISNUMBER(H357),Metadata!$H$5&gt;Metadata!$G$5),MAX(Metadata!$G$5-H357,0,H357-Metadata!$H$5)/(Metadata!$H$5-Metadata!$G$5),"Missing input")</f>
        <v>0</v>
      </c>
      <c r="BC357" s="23">
        <f>IF(AND(ISNUMBER(L357),Metadata!$H$8&gt;Metadata!$G$8),MAX(Metadata!$G$8-L357,0,L357-Metadata!$H$8)/(Metadata!$H$8-Metadata!$G$8),"Missing input")</f>
        <v>3.9331795798790752E-2</v>
      </c>
    </row>
    <row r="358" spans="1:55" x14ac:dyDescent="0.2">
      <c r="A358" t="s">
        <v>439</v>
      </c>
      <c r="B358" t="s">
        <v>423</v>
      </c>
      <c r="C358" t="s">
        <v>84</v>
      </c>
      <c r="D358" t="s">
        <v>55</v>
      </c>
      <c r="E358" t="s">
        <v>56</v>
      </c>
      <c r="F358">
        <v>17</v>
      </c>
      <c r="G358">
        <v>46.390186033042063</v>
      </c>
      <c r="H358">
        <v>16.21387510983789</v>
      </c>
      <c r="I358">
        <v>1.57</v>
      </c>
      <c r="J358">
        <v>1.5</v>
      </c>
      <c r="K358">
        <v>0.95</v>
      </c>
      <c r="L358">
        <v>0.05</v>
      </c>
      <c r="M358">
        <v>10</v>
      </c>
      <c r="N358">
        <v>110</v>
      </c>
      <c r="Q358">
        <v>0.95199777381508888</v>
      </c>
      <c r="R358">
        <v>2210215.3729856689</v>
      </c>
      <c r="S358">
        <v>-4.5588136477769971E-3</v>
      </c>
      <c r="T358">
        <v>992.19235058261199</v>
      </c>
      <c r="U358">
        <v>426.88594866080939</v>
      </c>
      <c r="V358">
        <v>219.5115819873036</v>
      </c>
      <c r="W358">
        <v>1.9447080869086</v>
      </c>
      <c r="X358" t="s">
        <v>57</v>
      </c>
      <c r="Z358">
        <v>732.97900000000004</v>
      </c>
      <c r="AA358">
        <v>95.163399999999996</v>
      </c>
      <c r="AB358">
        <v>51.296399999999998</v>
      </c>
      <c r="AC358">
        <v>16.02633193293142</v>
      </c>
      <c r="AD358">
        <v>90.453543784757969</v>
      </c>
      <c r="AE358">
        <v>90.453543784757969</v>
      </c>
      <c r="AF358" t="s">
        <v>58</v>
      </c>
      <c r="AG358" t="b">
        <v>1</v>
      </c>
      <c r="AH358">
        <v>5.6440578020782866</v>
      </c>
      <c r="AI358">
        <v>727.54899999999998</v>
      </c>
      <c r="AJ358">
        <v>91.310100000000006</v>
      </c>
      <c r="AK358">
        <v>51.757599999999996</v>
      </c>
      <c r="AL358">
        <v>15.568082394366201</v>
      </c>
      <c r="AM358">
        <v>90.293030752888072</v>
      </c>
      <c r="AN358">
        <v>90.293030752888072</v>
      </c>
      <c r="AO358" t="s">
        <v>58</v>
      </c>
      <c r="AP358" t="b">
        <v>1</v>
      </c>
      <c r="AQ358">
        <v>5.7998813511909129</v>
      </c>
      <c r="AR358">
        <v>732.97900000000004</v>
      </c>
      <c r="AS358">
        <v>90.453543784757969</v>
      </c>
      <c r="AT358">
        <v>5.7998813511909129</v>
      </c>
      <c r="AU358" s="5">
        <v>67.568797207214203</v>
      </c>
      <c r="AV358" s="5">
        <v>96.513931218336751</v>
      </c>
      <c r="AW358" s="5">
        <v>4.3325113693396116</v>
      </c>
      <c r="AX358" s="5">
        <v>6.1884734017207039</v>
      </c>
      <c r="AY358" t="s">
        <v>64</v>
      </c>
      <c r="AZ358" t="s">
        <v>11</v>
      </c>
      <c r="BA358" s="23">
        <f t="shared" si="5"/>
        <v>3.9331795798790752E-2</v>
      </c>
      <c r="BB358" s="23">
        <f>IF(AND(ISNUMBER(H358),Metadata!$H$5&gt;Metadata!$G$5),MAX(Metadata!$G$5-H358,0,H358-Metadata!$H$5)/(Metadata!$H$5-Metadata!$G$5),"Missing input")</f>
        <v>0</v>
      </c>
      <c r="BC358" s="23">
        <f>IF(AND(ISNUMBER(L358),Metadata!$H$8&gt;Metadata!$G$8),MAX(Metadata!$G$8-L358,0,L358-Metadata!$H$8)/(Metadata!$H$8-Metadata!$G$8),"Missing input")</f>
        <v>3.9331795798790752E-2</v>
      </c>
    </row>
    <row r="359" spans="1:55" x14ac:dyDescent="0.2">
      <c r="A359" t="s">
        <v>440</v>
      </c>
      <c r="B359" t="s">
        <v>423</v>
      </c>
      <c r="C359" t="s">
        <v>84</v>
      </c>
      <c r="D359" t="s">
        <v>55</v>
      </c>
      <c r="E359" t="s">
        <v>56</v>
      </c>
      <c r="F359">
        <v>18</v>
      </c>
      <c r="G359">
        <v>54.165408264435399</v>
      </c>
      <c r="H359">
        <v>18.25275816413232</v>
      </c>
      <c r="I359">
        <v>1.57</v>
      </c>
      <c r="J359">
        <v>1.5</v>
      </c>
      <c r="K359">
        <v>0.95</v>
      </c>
      <c r="L359">
        <v>0.05</v>
      </c>
      <c r="M359">
        <v>10</v>
      </c>
      <c r="N359">
        <v>110</v>
      </c>
      <c r="Q359">
        <v>0.95199777381508888</v>
      </c>
      <c r="R359">
        <v>2919725.6187367002</v>
      </c>
      <c r="S359">
        <v>-4.846773409854223E-3</v>
      </c>
      <c r="T359">
        <v>1250.244632367107</v>
      </c>
      <c r="U359">
        <v>454.22166711882102</v>
      </c>
      <c r="V359">
        <v>276.6027947714839</v>
      </c>
      <c r="W359">
        <v>1.642144171009108</v>
      </c>
      <c r="X359" t="s">
        <v>57</v>
      </c>
      <c r="Z359">
        <v>855.25400000000002</v>
      </c>
      <c r="AA359">
        <v>95.163399999999996</v>
      </c>
      <c r="AB359">
        <v>51.296399999999998</v>
      </c>
      <c r="AC359">
        <v>15.877728676470589</v>
      </c>
      <c r="AD359">
        <v>77.963686414320733</v>
      </c>
      <c r="AE359">
        <v>77.963686414320733</v>
      </c>
      <c r="AF359" t="s">
        <v>58</v>
      </c>
      <c r="AG359" t="b">
        <v>1</v>
      </c>
      <c r="AH359">
        <v>4.9102543570892543</v>
      </c>
      <c r="AI359">
        <v>849.36300000000006</v>
      </c>
      <c r="AJ359">
        <v>91.310100000000006</v>
      </c>
      <c r="AK359">
        <v>51.757599999999996</v>
      </c>
      <c r="AL359">
        <v>15.54113246019517</v>
      </c>
      <c r="AM359">
        <v>78.498626937161447</v>
      </c>
      <c r="AN359">
        <v>78.498626937161447</v>
      </c>
      <c r="AO359" t="s">
        <v>58</v>
      </c>
      <c r="AP359" t="b">
        <v>1</v>
      </c>
      <c r="AQ359">
        <v>5.0510236070773207</v>
      </c>
      <c r="AR359">
        <v>855.25400000000002</v>
      </c>
      <c r="AS359">
        <v>78.498626937161447</v>
      </c>
      <c r="AT359">
        <v>5.0510236070773207</v>
      </c>
      <c r="AU359" s="5">
        <v>58.638474322059601</v>
      </c>
      <c r="AV359" s="5">
        <v>83.758034941951266</v>
      </c>
      <c r="AW359" s="5">
        <v>3.7731146344867583</v>
      </c>
      <c r="AX359" s="5">
        <v>5.3894421887515005</v>
      </c>
      <c r="AY359" t="s">
        <v>64</v>
      </c>
      <c r="AZ359" t="s">
        <v>11</v>
      </c>
      <c r="BA359" s="23">
        <f t="shared" si="5"/>
        <v>3.9331795798790752E-2</v>
      </c>
      <c r="BB359" s="23">
        <f>IF(AND(ISNUMBER(H359),Metadata!$H$5&gt;Metadata!$G$5),MAX(Metadata!$G$5-H359,0,H359-Metadata!$H$5)/(Metadata!$H$5-Metadata!$G$5),"Missing input")</f>
        <v>0</v>
      </c>
      <c r="BC359" s="23">
        <f>IF(AND(ISNUMBER(L359),Metadata!$H$8&gt;Metadata!$G$8),MAX(Metadata!$G$8-L359,0,L359-Metadata!$H$8)/(Metadata!$H$8-Metadata!$G$8),"Missing input")</f>
        <v>3.9331795798790752E-2</v>
      </c>
    </row>
    <row r="360" spans="1:55" x14ac:dyDescent="0.2">
      <c r="A360" t="s">
        <v>441</v>
      </c>
      <c r="B360" t="s">
        <v>423</v>
      </c>
      <c r="C360" t="s">
        <v>84</v>
      </c>
      <c r="D360" t="s">
        <v>55</v>
      </c>
      <c r="E360" t="s">
        <v>56</v>
      </c>
      <c r="F360">
        <v>19</v>
      </c>
      <c r="G360">
        <v>21.707483118551171</v>
      </c>
      <c r="H360">
        <v>43.497365085878002</v>
      </c>
      <c r="I360">
        <v>1.57</v>
      </c>
      <c r="J360">
        <v>1.5</v>
      </c>
      <c r="K360">
        <v>0.95</v>
      </c>
      <c r="L360">
        <v>0.05</v>
      </c>
      <c r="M360">
        <v>10</v>
      </c>
      <c r="N360">
        <v>110</v>
      </c>
      <c r="Q360">
        <v>0.95199777381508888</v>
      </c>
      <c r="R360">
        <v>2786376.2799094608</v>
      </c>
      <c r="S360">
        <v>-6.1432425036771349E-3</v>
      </c>
      <c r="T360">
        <v>1327.844178866673</v>
      </c>
      <c r="U360">
        <v>319.67636247252739</v>
      </c>
      <c r="V360">
        <v>293.77083603244972</v>
      </c>
      <c r="W360">
        <v>1.0881827712714689</v>
      </c>
      <c r="X360" t="s">
        <v>87</v>
      </c>
      <c r="Z360">
        <v>577.71400000000006</v>
      </c>
      <c r="AA360">
        <v>95.163399999999996</v>
      </c>
      <c r="AB360">
        <v>32.016500000000001</v>
      </c>
      <c r="AC360">
        <v>14.787756533388301</v>
      </c>
      <c r="AD360">
        <v>36.717164371560642</v>
      </c>
      <c r="AE360">
        <v>36.717164371560642</v>
      </c>
      <c r="AF360" t="s">
        <v>58</v>
      </c>
      <c r="AG360" t="b">
        <v>1</v>
      </c>
      <c r="AH360">
        <v>2.4829435275499279</v>
      </c>
      <c r="AI360">
        <v>581.90599999999995</v>
      </c>
      <c r="AJ360">
        <v>91.310100000000006</v>
      </c>
      <c r="AK360">
        <v>32.289299999999997</v>
      </c>
      <c r="AL360">
        <v>14.34143332755632</v>
      </c>
      <c r="AM360">
        <v>35.754480251558071</v>
      </c>
      <c r="AN360">
        <v>35.754480251558071</v>
      </c>
      <c r="AO360" t="s">
        <v>58</v>
      </c>
      <c r="AP360" t="b">
        <v>1</v>
      </c>
      <c r="AQ360">
        <v>2.4930897376106529</v>
      </c>
      <c r="AR360">
        <v>581.90599999999995</v>
      </c>
      <c r="AS360">
        <v>36.717164371560642</v>
      </c>
      <c r="AT360">
        <v>2.4930897376106529</v>
      </c>
      <c r="AU360" s="5" t="s">
        <v>88</v>
      </c>
      <c r="AV360" s="5" t="s">
        <v>88</v>
      </c>
      <c r="AW360" s="5" t="s">
        <v>88</v>
      </c>
      <c r="AX360" s="5" t="s">
        <v>88</v>
      </c>
      <c r="AY360" t="s">
        <v>64</v>
      </c>
      <c r="AZ360" t="s">
        <v>194</v>
      </c>
      <c r="BA360" s="23">
        <f t="shared" si="5"/>
        <v>9.4596678167087334E-2</v>
      </c>
      <c r="BB360" s="23">
        <f>IF(AND(ISNUMBER(H360),Metadata!$H$5&gt;Metadata!$G$5),MAX(Metadata!$G$5-H360,0,H360-Metadata!$H$5)/(Metadata!$H$5-Metadata!$G$5),"Missing input")</f>
        <v>9.4596678167087334E-2</v>
      </c>
      <c r="BC360" s="23">
        <f>IF(AND(ISNUMBER(L360),Metadata!$H$8&gt;Metadata!$G$8),MAX(Metadata!$G$8-L360,0,L360-Metadata!$H$8)/(Metadata!$H$8-Metadata!$G$8),"Missing input")</f>
        <v>3.9331795798790752E-2</v>
      </c>
    </row>
    <row r="361" spans="1:55" x14ac:dyDescent="0.2">
      <c r="A361" t="s">
        <v>442</v>
      </c>
      <c r="B361" t="s">
        <v>423</v>
      </c>
      <c r="C361" t="s">
        <v>84</v>
      </c>
      <c r="D361" t="s">
        <v>55</v>
      </c>
      <c r="E361" t="s">
        <v>56</v>
      </c>
      <c r="F361">
        <v>20</v>
      </c>
      <c r="G361">
        <v>53.035991243371583</v>
      </c>
      <c r="H361">
        <v>30.34654288470276</v>
      </c>
      <c r="I361">
        <v>1.57</v>
      </c>
      <c r="J361">
        <v>1.5</v>
      </c>
      <c r="K361">
        <v>0.95</v>
      </c>
      <c r="L361">
        <v>0.05</v>
      </c>
      <c r="M361">
        <v>10</v>
      </c>
      <c r="N361">
        <v>110</v>
      </c>
      <c r="Q361">
        <v>0.95199777381508888</v>
      </c>
      <c r="R361">
        <v>4782098.2730990862</v>
      </c>
      <c r="S361">
        <v>-6.004454658368033E-3</v>
      </c>
      <c r="T361">
        <v>2064.392118408005</v>
      </c>
      <c r="U361">
        <v>450.37879769466292</v>
      </c>
      <c r="V361">
        <v>456.72392000177121</v>
      </c>
      <c r="W361">
        <v>0.98610731334788915</v>
      </c>
      <c r="X361" t="s">
        <v>87</v>
      </c>
      <c r="Z361">
        <v>1019.39</v>
      </c>
      <c r="AA361">
        <v>95.163399999999996</v>
      </c>
      <c r="AB361">
        <v>40.726599999999998</v>
      </c>
      <c r="AC361">
        <v>15.82107404692082</v>
      </c>
      <c r="AD361">
        <v>45.999814097896987</v>
      </c>
      <c r="AE361">
        <v>45.999814097896987</v>
      </c>
      <c r="AF361" t="s">
        <v>58</v>
      </c>
      <c r="AG361" t="b">
        <v>1</v>
      </c>
      <c r="AH361">
        <v>2.9075026108514859</v>
      </c>
      <c r="AI361">
        <v>1017.34</v>
      </c>
      <c r="AJ361">
        <v>91.310100000000006</v>
      </c>
      <c r="AK361">
        <v>39.358900000000013</v>
      </c>
      <c r="AL361">
        <v>15.369929688186209</v>
      </c>
      <c r="AM361">
        <v>46.423431826468843</v>
      </c>
      <c r="AN361">
        <v>46.423431826468843</v>
      </c>
      <c r="AO361" t="s">
        <v>58</v>
      </c>
      <c r="AP361" t="b">
        <v>1</v>
      </c>
      <c r="AQ361">
        <v>3.0204062587320291</v>
      </c>
      <c r="AR361">
        <v>1019.39</v>
      </c>
      <c r="AS361">
        <v>46.423431826468843</v>
      </c>
      <c r="AT361">
        <v>3.0204062587320291</v>
      </c>
      <c r="AU361" s="5" t="s">
        <v>88</v>
      </c>
      <c r="AV361" s="5" t="s">
        <v>88</v>
      </c>
      <c r="AW361" s="5" t="s">
        <v>88</v>
      </c>
      <c r="AX361" s="5" t="s">
        <v>88</v>
      </c>
      <c r="AY361" t="s">
        <v>64</v>
      </c>
      <c r="AZ361" t="s">
        <v>11</v>
      </c>
      <c r="BA361" s="23">
        <f t="shared" si="5"/>
        <v>3.9331795798790752E-2</v>
      </c>
      <c r="BB361" s="23">
        <f>IF(AND(ISNUMBER(H361),Metadata!$H$5&gt;Metadata!$G$5),MAX(Metadata!$G$5-H361,0,H361-Metadata!$H$5)/(Metadata!$H$5-Metadata!$G$5),"Missing input")</f>
        <v>0</v>
      </c>
      <c r="BC361" s="23">
        <f>IF(AND(ISNUMBER(L361),Metadata!$H$8&gt;Metadata!$G$8),MAX(Metadata!$G$8-L361,0,L361-Metadata!$H$8)/(Metadata!$H$8-Metadata!$G$8),"Missing input")</f>
        <v>3.9331795798790752E-2</v>
      </c>
    </row>
    <row r="362" spans="1:55" x14ac:dyDescent="0.2">
      <c r="A362" t="s">
        <v>443</v>
      </c>
      <c r="B362" t="s">
        <v>444</v>
      </c>
      <c r="C362" t="s">
        <v>84</v>
      </c>
      <c r="D362" t="s">
        <v>55</v>
      </c>
      <c r="E362" t="s">
        <v>56</v>
      </c>
      <c r="F362">
        <v>1</v>
      </c>
      <c r="G362">
        <v>22.11413992487228</v>
      </c>
      <c r="H362">
        <v>28.832065765515338</v>
      </c>
      <c r="I362">
        <v>1.57</v>
      </c>
      <c r="J362">
        <v>1.5</v>
      </c>
      <c r="K362">
        <v>1.2</v>
      </c>
      <c r="L362">
        <v>0.05</v>
      </c>
      <c r="M362">
        <v>12</v>
      </c>
      <c r="N362">
        <v>125</v>
      </c>
      <c r="Q362">
        <v>1.206371578978481</v>
      </c>
      <c r="R362">
        <v>1866510.334985178</v>
      </c>
      <c r="S362">
        <v>-6.6449282658310521E-3</v>
      </c>
      <c r="T362">
        <v>931.93139645531812</v>
      </c>
      <c r="U362">
        <v>321.84049569621862</v>
      </c>
      <c r="V362">
        <v>206.1795124901146</v>
      </c>
      <c r="W362">
        <v>1.5609722411757541</v>
      </c>
      <c r="X362" t="s">
        <v>57</v>
      </c>
      <c r="Z362">
        <v>580.34699999999998</v>
      </c>
      <c r="AA362">
        <v>95.163399999999996</v>
      </c>
      <c r="AB362">
        <v>44.3125</v>
      </c>
      <c r="AC362">
        <v>18.06346134587201</v>
      </c>
      <c r="AD362">
        <v>55.109144494597842</v>
      </c>
      <c r="AE362">
        <v>55.109144494597842</v>
      </c>
      <c r="AF362" t="s">
        <v>58</v>
      </c>
      <c r="AG362" t="b">
        <v>1</v>
      </c>
      <c r="AH362">
        <v>3.05086292374367</v>
      </c>
      <c r="AI362">
        <v>576.65099999999995</v>
      </c>
      <c r="AJ362">
        <v>91.310100000000006</v>
      </c>
      <c r="AK362">
        <v>43.8568</v>
      </c>
      <c r="AL362">
        <v>17.65497759803921</v>
      </c>
      <c r="AM362">
        <v>54.676759654832352</v>
      </c>
      <c r="AN362">
        <v>54.676759654832352</v>
      </c>
      <c r="AO362" t="s">
        <v>58</v>
      </c>
      <c r="AP362" t="b">
        <v>1</v>
      </c>
      <c r="AQ362">
        <v>3.0969600131865831</v>
      </c>
      <c r="AR362">
        <v>580.34699999999998</v>
      </c>
      <c r="AS362">
        <v>55.109144494597842</v>
      </c>
      <c r="AT362">
        <v>3.0969600131865831</v>
      </c>
      <c r="AU362" s="5">
        <v>41.166530937464586</v>
      </c>
      <c r="AV362" s="5">
        <v>58.801457175735898</v>
      </c>
      <c r="AW362" s="5">
        <v>2.3134291298503777</v>
      </c>
      <c r="AX362" s="5">
        <v>3.3044563340700841</v>
      </c>
      <c r="AY362" t="s">
        <v>64</v>
      </c>
      <c r="AZ362" t="s">
        <v>11</v>
      </c>
      <c r="BA362" s="23">
        <f t="shared" si="5"/>
        <v>3.9331795798790752E-2</v>
      </c>
      <c r="BB362" s="23">
        <f>IF(AND(ISNUMBER(H362),Metadata!$H$5&gt;Metadata!$G$5),MAX(Metadata!$G$5-H362,0,H362-Metadata!$H$5)/(Metadata!$H$5-Metadata!$G$5),"Missing input")</f>
        <v>0</v>
      </c>
      <c r="BC362" s="23">
        <f>IF(AND(ISNUMBER(L362),Metadata!$H$8&gt;Metadata!$G$8),MAX(Metadata!$G$8-L362,0,L362-Metadata!$H$8)/(Metadata!$H$8-Metadata!$G$8),"Missing input")</f>
        <v>3.9331795798790752E-2</v>
      </c>
    </row>
    <row r="363" spans="1:55" x14ac:dyDescent="0.2">
      <c r="A363" t="s">
        <v>445</v>
      </c>
      <c r="B363" t="s">
        <v>444</v>
      </c>
      <c r="C363" t="s">
        <v>84</v>
      </c>
      <c r="D363" t="s">
        <v>55</v>
      </c>
      <c r="E363" t="s">
        <v>56</v>
      </c>
      <c r="F363">
        <v>2</v>
      </c>
      <c r="G363">
        <v>39.289372610104301</v>
      </c>
      <c r="H363">
        <v>11.43599740060767</v>
      </c>
      <c r="I363">
        <v>1.57</v>
      </c>
      <c r="J363">
        <v>1.5</v>
      </c>
      <c r="K363">
        <v>1.2</v>
      </c>
      <c r="L363">
        <v>0.05</v>
      </c>
      <c r="M363">
        <v>12</v>
      </c>
      <c r="N363">
        <v>125</v>
      </c>
      <c r="Q363">
        <v>1.206371578978481</v>
      </c>
      <c r="R363">
        <v>1301660.814121977</v>
      </c>
      <c r="S363">
        <v>-4.2601574121776719E-3</v>
      </c>
      <c r="T363">
        <v>682.24591859950192</v>
      </c>
      <c r="U363">
        <v>399.83772025420927</v>
      </c>
      <c r="V363">
        <v>150.93936252201371</v>
      </c>
      <c r="W363">
        <v>2.648995686568473</v>
      </c>
      <c r="X363" t="s">
        <v>57</v>
      </c>
      <c r="Z363">
        <v>611.86699999999996</v>
      </c>
      <c r="AA363">
        <v>95.163399999999996</v>
      </c>
      <c r="AB363">
        <v>65.006200000000007</v>
      </c>
      <c r="AC363">
        <v>17.636995545609551</v>
      </c>
      <c r="AE363">
        <v>95.163399999999996</v>
      </c>
      <c r="AF363" t="s">
        <v>62</v>
      </c>
      <c r="AG363" t="b">
        <v>0</v>
      </c>
      <c r="AH363">
        <v>5.3956695602664269</v>
      </c>
      <c r="AI363">
        <v>605.73699999999997</v>
      </c>
      <c r="AJ363">
        <v>78.431799999999996</v>
      </c>
      <c r="AK363">
        <v>64.811499999999995</v>
      </c>
      <c r="AL363">
        <v>17.070611871095039</v>
      </c>
      <c r="AN363">
        <v>78.431799999999996</v>
      </c>
      <c r="AO363" t="s">
        <v>62</v>
      </c>
      <c r="AP363" t="b">
        <v>0</v>
      </c>
      <c r="AQ363">
        <v>4.5945511849405536</v>
      </c>
      <c r="AR363">
        <v>611.86699999999996</v>
      </c>
      <c r="AS363">
        <v>95.163399999999996</v>
      </c>
      <c r="AT363">
        <v>5.3956695602664269</v>
      </c>
      <c r="AU363" s="5">
        <v>71.087059799999992</v>
      </c>
      <c r="AV363" s="5">
        <v>101.53934779999999</v>
      </c>
      <c r="AW363" s="5">
        <v>4.0305651615190206</v>
      </c>
      <c r="AX363" s="5">
        <v>5.7571794208042775</v>
      </c>
      <c r="AY363" t="s">
        <v>64</v>
      </c>
      <c r="AZ363" t="s">
        <v>11</v>
      </c>
      <c r="BA363" s="23">
        <f t="shared" si="5"/>
        <v>3.9331795798790752E-2</v>
      </c>
      <c r="BB363" s="23">
        <f>IF(AND(ISNUMBER(H363),Metadata!$H$5&gt;Metadata!$G$5),MAX(Metadata!$G$5-H363,0,H363-Metadata!$H$5)/(Metadata!$H$5-Metadata!$G$5),"Missing input")</f>
        <v>0</v>
      </c>
      <c r="BC363" s="23">
        <f>IF(AND(ISNUMBER(L363),Metadata!$H$8&gt;Metadata!$G$8),MAX(Metadata!$G$8-L363,0,L363-Metadata!$H$8)/(Metadata!$H$8-Metadata!$G$8),"Missing input")</f>
        <v>3.9331795798790752E-2</v>
      </c>
    </row>
    <row r="364" spans="1:55" x14ac:dyDescent="0.2">
      <c r="A364" t="s">
        <v>446</v>
      </c>
      <c r="B364" t="s">
        <v>444</v>
      </c>
      <c r="C364" t="s">
        <v>84</v>
      </c>
      <c r="D364" t="s">
        <v>55</v>
      </c>
      <c r="E364" t="s">
        <v>56</v>
      </c>
      <c r="F364">
        <v>3</v>
      </c>
      <c r="G364">
        <v>50.720967279676117</v>
      </c>
      <c r="H364">
        <v>41.572102032205443</v>
      </c>
      <c r="I364">
        <v>1.57</v>
      </c>
      <c r="J364">
        <v>1.5</v>
      </c>
      <c r="K364">
        <v>1.2</v>
      </c>
      <c r="L364">
        <v>0.05</v>
      </c>
      <c r="M364">
        <v>12</v>
      </c>
      <c r="N364">
        <v>125</v>
      </c>
      <c r="Q364">
        <v>1.206371578978481</v>
      </c>
      <c r="R364">
        <v>6279453.0057685468</v>
      </c>
      <c r="S364">
        <v>-6.9892689186178544E-3</v>
      </c>
      <c r="T364">
        <v>2795.5189136654449</v>
      </c>
      <c r="U364">
        <v>442.37180548346367</v>
      </c>
      <c r="V364">
        <v>618.47763576669149</v>
      </c>
      <c r="W364">
        <v>0.71525917818367124</v>
      </c>
      <c r="X364" t="s">
        <v>87</v>
      </c>
      <c r="Z364">
        <v>1055.5899999999999</v>
      </c>
      <c r="AA364">
        <v>95.163399999999996</v>
      </c>
      <c r="AB364">
        <v>34.786900000000003</v>
      </c>
      <c r="AC364">
        <v>15.631431257235461</v>
      </c>
      <c r="AD364">
        <v>37.908918172452573</v>
      </c>
      <c r="AE364">
        <v>37.908918172452573</v>
      </c>
      <c r="AF364" t="s">
        <v>58</v>
      </c>
      <c r="AG364" t="b">
        <v>1</v>
      </c>
      <c r="AH364">
        <v>2.4251725608878791</v>
      </c>
      <c r="AI364">
        <v>1050.1199999999999</v>
      </c>
      <c r="AJ364">
        <v>91.310100000000006</v>
      </c>
      <c r="AK364">
        <v>34.388800000000003</v>
      </c>
      <c r="AL364">
        <v>14.6018803253292</v>
      </c>
      <c r="AM364">
        <v>37.456008403755867</v>
      </c>
      <c r="AN364">
        <v>37.456008403755867</v>
      </c>
      <c r="AO364" t="s">
        <v>58</v>
      </c>
      <c r="AP364" t="b">
        <v>1</v>
      </c>
      <c r="AQ364">
        <v>2.5651496635527611</v>
      </c>
      <c r="AR364">
        <v>1055.5899999999999</v>
      </c>
      <c r="AS364">
        <v>37.908918172452573</v>
      </c>
      <c r="AT364">
        <v>2.5651496635527611</v>
      </c>
      <c r="AU364" s="5" t="s">
        <v>88</v>
      </c>
      <c r="AV364" s="5" t="s">
        <v>88</v>
      </c>
      <c r="AW364" s="5" t="s">
        <v>88</v>
      </c>
      <c r="AX364" s="5" t="s">
        <v>88</v>
      </c>
      <c r="AY364" t="s">
        <v>64</v>
      </c>
      <c r="AZ364" t="s">
        <v>194</v>
      </c>
      <c r="BA364" s="23">
        <f t="shared" si="5"/>
        <v>4.6063612035701466E-2</v>
      </c>
      <c r="BB364" s="23">
        <f>IF(AND(ISNUMBER(H364),Metadata!$H$5&gt;Metadata!$G$5),MAX(Metadata!$G$5-H364,0,H364-Metadata!$H$5)/(Metadata!$H$5-Metadata!$G$5),"Missing input")</f>
        <v>4.6063612035701466E-2</v>
      </c>
      <c r="BC364" s="23">
        <f>IF(AND(ISNUMBER(L364),Metadata!$H$8&gt;Metadata!$G$8),MAX(Metadata!$G$8-L364,0,L364-Metadata!$H$8)/(Metadata!$H$8-Metadata!$G$8),"Missing input")</f>
        <v>3.9331795798790752E-2</v>
      </c>
    </row>
    <row r="365" spans="1:55" x14ac:dyDescent="0.2">
      <c r="A365" t="s">
        <v>447</v>
      </c>
      <c r="B365" t="s">
        <v>444</v>
      </c>
      <c r="C365" t="s">
        <v>84</v>
      </c>
      <c r="D365" t="s">
        <v>55</v>
      </c>
      <c r="E365" t="s">
        <v>56</v>
      </c>
      <c r="F365">
        <v>4</v>
      </c>
      <c r="G365">
        <v>40.065365059576777</v>
      </c>
      <c r="H365">
        <v>25.23064360495534</v>
      </c>
      <c r="I365">
        <v>1.57</v>
      </c>
      <c r="J365">
        <v>1.5</v>
      </c>
      <c r="K365">
        <v>1.2</v>
      </c>
      <c r="L365">
        <v>0.05</v>
      </c>
      <c r="M365">
        <v>12</v>
      </c>
      <c r="N365">
        <v>125</v>
      </c>
      <c r="Q365">
        <v>1.206371578978481</v>
      </c>
      <c r="R365">
        <v>2986346.165161836</v>
      </c>
      <c r="S365">
        <v>-6.323917922983111E-3</v>
      </c>
      <c r="T365">
        <v>1323.2635029237761</v>
      </c>
      <c r="U365">
        <v>402.90654267010871</v>
      </c>
      <c r="V365">
        <v>292.75741215127789</v>
      </c>
      <c r="W365">
        <v>1.3762471109080341</v>
      </c>
      <c r="X365" t="s">
        <v>57</v>
      </c>
      <c r="Z365">
        <v>813.03800000000001</v>
      </c>
      <c r="AA365">
        <v>95.163399999999996</v>
      </c>
      <c r="AB365">
        <v>48.906599999999997</v>
      </c>
      <c r="AC365">
        <v>17.414493016759771</v>
      </c>
      <c r="AD365">
        <v>61.100734251742523</v>
      </c>
      <c r="AE365">
        <v>61.100734251742523</v>
      </c>
      <c r="AF365" t="s">
        <v>58</v>
      </c>
      <c r="AG365" t="b">
        <v>1</v>
      </c>
      <c r="AH365">
        <v>3.508614014369464</v>
      </c>
      <c r="AI365">
        <v>810.49800000000005</v>
      </c>
      <c r="AJ365">
        <v>91.310100000000006</v>
      </c>
      <c r="AK365">
        <v>49.009500000000003</v>
      </c>
      <c r="AL365">
        <v>17.150546592592601</v>
      </c>
      <c r="AM365">
        <v>60.889611620492829</v>
      </c>
      <c r="AN365">
        <v>60.889611620492829</v>
      </c>
      <c r="AO365" t="s">
        <v>58</v>
      </c>
      <c r="AP365" t="b">
        <v>1</v>
      </c>
      <c r="AQ365">
        <v>3.550301519065949</v>
      </c>
      <c r="AR365">
        <v>813.03800000000001</v>
      </c>
      <c r="AS365">
        <v>61.100734251742523</v>
      </c>
      <c r="AT365">
        <v>3.550301519065949</v>
      </c>
      <c r="AU365" s="5">
        <v>45.642248486051663</v>
      </c>
      <c r="AV365" s="5">
        <v>65.194483446609269</v>
      </c>
      <c r="AW365" s="5">
        <v>2.6520752347422638</v>
      </c>
      <c r="AX365" s="5">
        <v>3.7881717208433674</v>
      </c>
      <c r="AY365" t="s">
        <v>64</v>
      </c>
      <c r="AZ365" t="s">
        <v>11</v>
      </c>
      <c r="BA365" s="23">
        <f t="shared" si="5"/>
        <v>3.9331795798790752E-2</v>
      </c>
      <c r="BB365" s="23">
        <f>IF(AND(ISNUMBER(H365),Metadata!$H$5&gt;Metadata!$G$5),MAX(Metadata!$G$5-H365,0,H365-Metadata!$H$5)/(Metadata!$H$5-Metadata!$G$5),"Missing input")</f>
        <v>0</v>
      </c>
      <c r="BC365" s="23">
        <f>IF(AND(ISNUMBER(L365),Metadata!$H$8&gt;Metadata!$G$8),MAX(Metadata!$G$8-L365,0,L365-Metadata!$H$8)/(Metadata!$H$8-Metadata!$G$8),"Missing input")</f>
        <v>3.9331795798790752E-2</v>
      </c>
    </row>
    <row r="366" spans="1:55" x14ac:dyDescent="0.2">
      <c r="A366" t="s">
        <v>448</v>
      </c>
      <c r="B366" t="s">
        <v>444</v>
      </c>
      <c r="C366" t="s">
        <v>84</v>
      </c>
      <c r="D366" t="s">
        <v>55</v>
      </c>
      <c r="E366" t="s">
        <v>56</v>
      </c>
      <c r="F366">
        <v>5</v>
      </c>
      <c r="G366">
        <v>44.691650234033148</v>
      </c>
      <c r="H366">
        <v>35.278860063057749</v>
      </c>
      <c r="I366">
        <v>1.57</v>
      </c>
      <c r="J366">
        <v>1.5</v>
      </c>
      <c r="K366">
        <v>1.2</v>
      </c>
      <c r="L366">
        <v>0.05</v>
      </c>
      <c r="M366">
        <v>12</v>
      </c>
      <c r="N366">
        <v>125</v>
      </c>
      <c r="Q366">
        <v>1.206371578978481</v>
      </c>
      <c r="R366">
        <v>4683732.748780732</v>
      </c>
      <c r="S366">
        <v>-6.9560454476171631E-3</v>
      </c>
      <c r="T366">
        <v>2061.9786008310161</v>
      </c>
      <c r="U366">
        <v>420.61586698098569</v>
      </c>
      <c r="V366">
        <v>456.18995593606547</v>
      </c>
      <c r="W366">
        <v>0.9220191315214632</v>
      </c>
      <c r="X366" t="s">
        <v>87</v>
      </c>
      <c r="Z366">
        <v>939.92499999999995</v>
      </c>
      <c r="AA366">
        <v>95.163399999999996</v>
      </c>
      <c r="AB366">
        <v>37.809100000000001</v>
      </c>
      <c r="AC366">
        <v>16.089491082164319</v>
      </c>
      <c r="AD366">
        <v>44.264112731993457</v>
      </c>
      <c r="AE366">
        <v>44.264112731993457</v>
      </c>
      <c r="AF366" t="s">
        <v>58</v>
      </c>
      <c r="AG366" t="b">
        <v>1</v>
      </c>
      <c r="AH366">
        <v>2.7511195043988401</v>
      </c>
      <c r="AI366">
        <v>942.57100000000003</v>
      </c>
      <c r="AJ366">
        <v>91.310100000000006</v>
      </c>
      <c r="AK366">
        <v>39.358900000000013</v>
      </c>
      <c r="AL366">
        <v>15.72976695327325</v>
      </c>
      <c r="AM366">
        <v>43.386657814042373</v>
      </c>
      <c r="AN366">
        <v>43.386657814042373</v>
      </c>
      <c r="AO366" t="s">
        <v>58</v>
      </c>
      <c r="AP366" t="b">
        <v>1</v>
      </c>
      <c r="AQ366">
        <v>2.758251787386711</v>
      </c>
      <c r="AR366">
        <v>942.57100000000003</v>
      </c>
      <c r="AS366">
        <v>44.264112731993457</v>
      </c>
      <c r="AT366">
        <v>2.758251787386711</v>
      </c>
      <c r="AU366" s="5" t="s">
        <v>88</v>
      </c>
      <c r="AV366" s="5" t="s">
        <v>88</v>
      </c>
      <c r="AW366" s="5" t="s">
        <v>88</v>
      </c>
      <c r="AX366" s="5" t="s">
        <v>88</v>
      </c>
      <c r="AY366" t="s">
        <v>64</v>
      </c>
      <c r="AZ366" t="s">
        <v>11</v>
      </c>
      <c r="BA366" s="23">
        <f t="shared" si="5"/>
        <v>3.9331795798790752E-2</v>
      </c>
      <c r="BB366" s="23">
        <f>IF(AND(ISNUMBER(H366),Metadata!$H$5&gt;Metadata!$G$5),MAX(Metadata!$G$5-H366,0,H366-Metadata!$H$5)/(Metadata!$H$5-Metadata!$G$5),"Missing input")</f>
        <v>0</v>
      </c>
      <c r="BC366" s="23">
        <f>IF(AND(ISNUMBER(L366),Metadata!$H$8&gt;Metadata!$G$8),MAX(Metadata!$G$8-L366,0,L366-Metadata!$H$8)/(Metadata!$H$8-Metadata!$G$8),"Missing input")</f>
        <v>3.9331795798790752E-2</v>
      </c>
    </row>
    <row r="367" spans="1:55" x14ac:dyDescent="0.2">
      <c r="A367" t="s">
        <v>449</v>
      </c>
      <c r="B367" t="s">
        <v>444</v>
      </c>
      <c r="C367" t="s">
        <v>84</v>
      </c>
      <c r="D367" t="s">
        <v>55</v>
      </c>
      <c r="E367" t="s">
        <v>56</v>
      </c>
      <c r="F367">
        <v>6</v>
      </c>
      <c r="G367">
        <v>33.086500490231572</v>
      </c>
      <c r="H367">
        <v>19.79580616436397</v>
      </c>
      <c r="I367">
        <v>1.57</v>
      </c>
      <c r="J367">
        <v>1.5</v>
      </c>
      <c r="K367">
        <v>1.2</v>
      </c>
      <c r="L367">
        <v>0.05</v>
      </c>
      <c r="M367">
        <v>12</v>
      </c>
      <c r="N367">
        <v>125</v>
      </c>
      <c r="Q367">
        <v>1.206371578978481</v>
      </c>
      <c r="R367">
        <v>1918643.176085273</v>
      </c>
      <c r="S367">
        <v>-5.6377639261251146E-3</v>
      </c>
      <c r="T367">
        <v>915.0391797947683</v>
      </c>
      <c r="U367">
        <v>374.12836023116557</v>
      </c>
      <c r="V367">
        <v>202.44229641477179</v>
      </c>
      <c r="W367">
        <v>1.848074077685014</v>
      </c>
      <c r="X367" t="s">
        <v>57</v>
      </c>
      <c r="Z367">
        <v>671.05600000000004</v>
      </c>
      <c r="AA367">
        <v>95.157499999999999</v>
      </c>
      <c r="AB367">
        <v>51.296399999999998</v>
      </c>
      <c r="AC367">
        <v>18.086499395770399</v>
      </c>
      <c r="AD367">
        <v>77.907526090073247</v>
      </c>
      <c r="AE367">
        <v>77.907526090073247</v>
      </c>
      <c r="AF367" t="s">
        <v>58</v>
      </c>
      <c r="AG367" t="b">
        <v>1</v>
      </c>
      <c r="AH367">
        <v>4.3074961265468676</v>
      </c>
      <c r="AI367">
        <v>664.43299999999999</v>
      </c>
      <c r="AJ367">
        <v>91.315999999999988</v>
      </c>
      <c r="AK367">
        <v>51.757599999999996</v>
      </c>
      <c r="AL367">
        <v>17.55728500509165</v>
      </c>
      <c r="AM367">
        <v>88.702002936303913</v>
      </c>
      <c r="AN367">
        <v>88.702002936303913</v>
      </c>
      <c r="AO367" t="s">
        <v>58</v>
      </c>
      <c r="AP367" t="b">
        <v>1</v>
      </c>
      <c r="AQ367">
        <v>5.0521480348801173</v>
      </c>
      <c r="AR367">
        <v>671.05600000000004</v>
      </c>
      <c r="AS367">
        <v>88.702002936303913</v>
      </c>
      <c r="AT367">
        <v>5.0521480348801173</v>
      </c>
      <c r="AU367" s="5">
        <v>66.260396193419027</v>
      </c>
      <c r="AV367" s="5">
        <v>94.645037133036269</v>
      </c>
      <c r="AW367" s="5">
        <v>3.7739545820554476</v>
      </c>
      <c r="AX367" s="5">
        <v>5.3906419532170853</v>
      </c>
      <c r="AY367" t="s">
        <v>64</v>
      </c>
      <c r="AZ367" t="s">
        <v>11</v>
      </c>
      <c r="BA367" s="23">
        <f t="shared" si="5"/>
        <v>3.9331795798790752E-2</v>
      </c>
      <c r="BB367" s="23">
        <f>IF(AND(ISNUMBER(H367),Metadata!$H$5&gt;Metadata!$G$5),MAX(Metadata!$G$5-H367,0,H367-Metadata!$H$5)/(Metadata!$H$5-Metadata!$G$5),"Missing input")</f>
        <v>0</v>
      </c>
      <c r="BC367" s="23">
        <f>IF(AND(ISNUMBER(L367),Metadata!$H$8&gt;Metadata!$G$8),MAX(Metadata!$G$8-L367,0,L367-Metadata!$H$8)/(Metadata!$H$8-Metadata!$G$8),"Missing input")</f>
        <v>3.9331795798790752E-2</v>
      </c>
    </row>
    <row r="368" spans="1:55" x14ac:dyDescent="0.2">
      <c r="A368" t="s">
        <v>450</v>
      </c>
      <c r="B368" t="s">
        <v>444</v>
      </c>
      <c r="C368" t="s">
        <v>84</v>
      </c>
      <c r="D368" t="s">
        <v>55</v>
      </c>
      <c r="E368" t="s">
        <v>56</v>
      </c>
      <c r="F368">
        <v>7</v>
      </c>
      <c r="G368">
        <v>42.943727860216583</v>
      </c>
      <c r="H368">
        <v>31.604415760045629</v>
      </c>
      <c r="I368">
        <v>1.57</v>
      </c>
      <c r="J368">
        <v>1.5</v>
      </c>
      <c r="K368">
        <v>1.2</v>
      </c>
      <c r="L368">
        <v>0.05</v>
      </c>
      <c r="M368">
        <v>12</v>
      </c>
      <c r="N368">
        <v>125</v>
      </c>
      <c r="Q368">
        <v>1.206371578978481</v>
      </c>
      <c r="R368">
        <v>4025355.613741619</v>
      </c>
      <c r="S368">
        <v>-6.8180108224435076E-3</v>
      </c>
      <c r="T368">
        <v>1767.125197942283</v>
      </c>
      <c r="U368">
        <v>414.03778154637018</v>
      </c>
      <c r="V368">
        <v>390.95690219962017</v>
      </c>
      <c r="W368">
        <v>1.059036889275752</v>
      </c>
      <c r="X368" t="s">
        <v>87</v>
      </c>
      <c r="Z368">
        <v>898.79</v>
      </c>
      <c r="AA368">
        <v>95.163399999999996</v>
      </c>
      <c r="AB368">
        <v>42.519599999999997</v>
      </c>
      <c r="AC368">
        <v>16.622325848398351</v>
      </c>
      <c r="AD368">
        <v>48.707856331285413</v>
      </c>
      <c r="AE368">
        <v>48.707856331285413</v>
      </c>
      <c r="AF368" t="s">
        <v>58</v>
      </c>
      <c r="AG368" t="b">
        <v>1</v>
      </c>
      <c r="AH368">
        <v>2.9302672066183009</v>
      </c>
      <c r="AI368">
        <v>893.72699999999998</v>
      </c>
      <c r="AJ368">
        <v>91.310100000000006</v>
      </c>
      <c r="AK368">
        <v>41.795699999999997</v>
      </c>
      <c r="AL368">
        <v>16.080338003639199</v>
      </c>
      <c r="AM368">
        <v>48.940044792545741</v>
      </c>
      <c r="AN368">
        <v>48.940044792545741</v>
      </c>
      <c r="AO368" t="s">
        <v>58</v>
      </c>
      <c r="AP368" t="b">
        <v>1</v>
      </c>
      <c r="AQ368">
        <v>3.0434711497650069</v>
      </c>
      <c r="AR368">
        <v>898.79</v>
      </c>
      <c r="AS368">
        <v>48.940044792545741</v>
      </c>
      <c r="AT368">
        <v>3.0434711497650069</v>
      </c>
      <c r="AU368" s="5" t="s">
        <v>88</v>
      </c>
      <c r="AV368" s="5" t="s">
        <v>88</v>
      </c>
      <c r="AW368" s="5" t="s">
        <v>88</v>
      </c>
      <c r="AX368" s="5" t="s">
        <v>88</v>
      </c>
      <c r="AY368" t="s">
        <v>64</v>
      </c>
      <c r="AZ368" t="s">
        <v>11</v>
      </c>
      <c r="BA368" s="23">
        <f t="shared" si="5"/>
        <v>3.9331795798790752E-2</v>
      </c>
      <c r="BB368" s="23">
        <f>IF(AND(ISNUMBER(H368),Metadata!$H$5&gt;Metadata!$G$5),MAX(Metadata!$G$5-H368,0,H368-Metadata!$H$5)/(Metadata!$H$5-Metadata!$G$5),"Missing input")</f>
        <v>0</v>
      </c>
      <c r="BC368" s="23">
        <f>IF(AND(ISNUMBER(L368),Metadata!$H$8&gt;Metadata!$G$8),MAX(Metadata!$G$8-L368,0,L368-Metadata!$H$8)/(Metadata!$H$8-Metadata!$G$8),"Missing input")</f>
        <v>3.9331795798790752E-2</v>
      </c>
    </row>
    <row r="369" spans="1:55" x14ac:dyDescent="0.2">
      <c r="A369" t="s">
        <v>451</v>
      </c>
      <c r="B369" t="s">
        <v>444</v>
      </c>
      <c r="C369" t="s">
        <v>84</v>
      </c>
      <c r="D369" t="s">
        <v>55</v>
      </c>
      <c r="E369" t="s">
        <v>56</v>
      </c>
      <c r="F369">
        <v>8</v>
      </c>
      <c r="G369">
        <v>29.155454969686971</v>
      </c>
      <c r="H369">
        <v>7.3398505058277053</v>
      </c>
      <c r="I369">
        <v>1.57</v>
      </c>
      <c r="J369">
        <v>1.5</v>
      </c>
      <c r="K369">
        <v>1.2</v>
      </c>
      <c r="L369">
        <v>0.05</v>
      </c>
      <c r="M369">
        <v>12</v>
      </c>
      <c r="N369">
        <v>125</v>
      </c>
      <c r="Q369">
        <v>1.206371578978481</v>
      </c>
      <c r="R369">
        <v>595711.36772068124</v>
      </c>
      <c r="S369">
        <v>-3.558044807024114E-3</v>
      </c>
      <c r="T369">
        <v>480.50831710260849</v>
      </c>
      <c r="U369">
        <v>356.56616392634919</v>
      </c>
      <c r="V369">
        <v>106.3071498014621</v>
      </c>
      <c r="W369">
        <v>3.3541127251766958</v>
      </c>
      <c r="X369" t="s">
        <v>57</v>
      </c>
      <c r="Z369">
        <v>475.245</v>
      </c>
      <c r="AA369">
        <v>94.924099999999996</v>
      </c>
      <c r="AB369">
        <v>71.920300000000012</v>
      </c>
      <c r="AC369">
        <v>18.452625258875742</v>
      </c>
      <c r="AE369">
        <v>94.924099999999996</v>
      </c>
      <c r="AF369" t="s">
        <v>62</v>
      </c>
      <c r="AG369" t="b">
        <v>0</v>
      </c>
      <c r="AH369">
        <v>5.1442056980126099</v>
      </c>
      <c r="AI369">
        <v>468.697</v>
      </c>
      <c r="AJ369">
        <v>90.944000000000003</v>
      </c>
      <c r="AK369">
        <v>39.358900000000013</v>
      </c>
      <c r="AL369">
        <v>17.766432881866059</v>
      </c>
      <c r="AM369">
        <v>39.409909581089117</v>
      </c>
      <c r="AN369">
        <v>39.409909581089117</v>
      </c>
      <c r="AO369" t="s">
        <v>58</v>
      </c>
      <c r="AP369" t="b">
        <v>1</v>
      </c>
      <c r="AQ369">
        <v>2.218222973803269</v>
      </c>
      <c r="AR369">
        <v>475.245</v>
      </c>
      <c r="AS369">
        <v>94.924099999999996</v>
      </c>
      <c r="AT369">
        <v>5.1442056980126099</v>
      </c>
      <c r="AU369" s="5">
        <v>70.908302699999993</v>
      </c>
      <c r="AV369" s="5">
        <v>101.28401469999999</v>
      </c>
      <c r="AW369" s="5">
        <v>3.8427216564154194</v>
      </c>
      <c r="AX369" s="5">
        <v>5.4888674797794543</v>
      </c>
      <c r="AY369" t="s">
        <v>64</v>
      </c>
      <c r="AZ369" t="s">
        <v>11</v>
      </c>
      <c r="BA369" s="23">
        <f t="shared" si="5"/>
        <v>3.9331795798790752E-2</v>
      </c>
      <c r="BB369" s="23">
        <f>IF(AND(ISNUMBER(H369),Metadata!$H$5&gt;Metadata!$G$5),MAX(Metadata!$G$5-H369,0,H369-Metadata!$H$5)/(Metadata!$H$5-Metadata!$G$5),"Missing input")</f>
        <v>0</v>
      </c>
      <c r="BC369" s="23">
        <f>IF(AND(ISNUMBER(L369),Metadata!$H$8&gt;Metadata!$G$8),MAX(Metadata!$G$8-L369,0,L369-Metadata!$H$8)/(Metadata!$H$8-Metadata!$G$8),"Missing input")</f>
        <v>3.9331795798790752E-2</v>
      </c>
    </row>
    <row r="370" spans="1:55" x14ac:dyDescent="0.2">
      <c r="A370" t="s">
        <v>452</v>
      </c>
      <c r="B370" t="s">
        <v>444</v>
      </c>
      <c r="C370" t="s">
        <v>84</v>
      </c>
      <c r="D370" t="s">
        <v>55</v>
      </c>
      <c r="E370" t="s">
        <v>56</v>
      </c>
      <c r="F370">
        <v>9</v>
      </c>
      <c r="G370">
        <v>59.748609235827082</v>
      </c>
      <c r="H370">
        <v>37.783512331141722</v>
      </c>
      <c r="I370">
        <v>1.57</v>
      </c>
      <c r="J370">
        <v>1.5</v>
      </c>
      <c r="K370">
        <v>1.2</v>
      </c>
      <c r="L370">
        <v>0.05</v>
      </c>
      <c r="M370">
        <v>12</v>
      </c>
      <c r="N370">
        <v>125</v>
      </c>
      <c r="Q370">
        <v>1.206371578978481</v>
      </c>
      <c r="R370">
        <v>6726258.2664913209</v>
      </c>
      <c r="S370">
        <v>-6.9971120389895518E-3</v>
      </c>
      <c r="T370">
        <v>2958.9793454838732</v>
      </c>
      <c r="U370">
        <v>472.65571468842592</v>
      </c>
      <c r="V370">
        <v>654.64144811590108</v>
      </c>
      <c r="W370">
        <v>0.72200701017138236</v>
      </c>
      <c r="X370" t="s">
        <v>87</v>
      </c>
      <c r="Z370">
        <v>1189.8800000000001</v>
      </c>
      <c r="AA370">
        <v>95.163399999999996</v>
      </c>
      <c r="AB370">
        <v>37.809100000000001</v>
      </c>
      <c r="AC370">
        <v>16.245487043189371</v>
      </c>
      <c r="AD370">
        <v>40.86752160824463</v>
      </c>
      <c r="AE370">
        <v>40.86752160824463</v>
      </c>
      <c r="AF370" t="s">
        <v>58</v>
      </c>
      <c r="AG370" t="b">
        <v>1</v>
      </c>
      <c r="AH370">
        <v>2.5156230465480318</v>
      </c>
      <c r="AI370">
        <v>1184.74</v>
      </c>
      <c r="AJ370">
        <v>91.310100000000006</v>
      </c>
      <c r="AK370">
        <v>37.266199999999998</v>
      </c>
      <c r="AL370">
        <v>15.437913877404281</v>
      </c>
      <c r="AM370">
        <v>39.95990677719832</v>
      </c>
      <c r="AN370">
        <v>39.95990677719832</v>
      </c>
      <c r="AO370" t="s">
        <v>58</v>
      </c>
      <c r="AP370" t="b">
        <v>1</v>
      </c>
      <c r="AQ370">
        <v>2.588426590181053</v>
      </c>
      <c r="AR370">
        <v>1189.8800000000001</v>
      </c>
      <c r="AS370">
        <v>40.86752160824463</v>
      </c>
      <c r="AT370">
        <v>2.588426590181053</v>
      </c>
      <c r="AU370" s="5" t="s">
        <v>88</v>
      </c>
      <c r="AV370" s="5" t="s">
        <v>88</v>
      </c>
      <c r="AW370" s="5" t="s">
        <v>88</v>
      </c>
      <c r="AX370" s="5" t="s">
        <v>88</v>
      </c>
      <c r="AY370" t="s">
        <v>64</v>
      </c>
      <c r="AZ370" t="s">
        <v>11</v>
      </c>
      <c r="BA370" s="23">
        <f t="shared" si="5"/>
        <v>3.9331795798790752E-2</v>
      </c>
      <c r="BB370" s="23">
        <f>IF(AND(ISNUMBER(H370),Metadata!$H$5&gt;Metadata!$G$5),MAX(Metadata!$G$5-H370,0,H370-Metadata!$H$5)/(Metadata!$H$5-Metadata!$G$5),"Missing input")</f>
        <v>0</v>
      </c>
      <c r="BC370" s="23">
        <f>IF(AND(ISNUMBER(L370),Metadata!$H$8&gt;Metadata!$G$8),MAX(Metadata!$G$8-L370,0,L370-Metadata!$H$8)/(Metadata!$H$8-Metadata!$G$8),"Missing input")</f>
        <v>3.9331795798790752E-2</v>
      </c>
    </row>
    <row r="371" spans="1:55" x14ac:dyDescent="0.2">
      <c r="A371" t="s">
        <v>453</v>
      </c>
      <c r="B371" t="s">
        <v>444</v>
      </c>
      <c r="C371" t="s">
        <v>84</v>
      </c>
      <c r="D371" t="s">
        <v>55</v>
      </c>
      <c r="E371" t="s">
        <v>56</v>
      </c>
      <c r="F371">
        <v>10</v>
      </c>
      <c r="G371">
        <v>34.746337553007109</v>
      </c>
      <c r="H371">
        <v>23.7414613202046</v>
      </c>
      <c r="I371">
        <v>1.57</v>
      </c>
      <c r="J371">
        <v>1.5</v>
      </c>
      <c r="K371">
        <v>1.2</v>
      </c>
      <c r="L371">
        <v>0.05</v>
      </c>
      <c r="M371">
        <v>12</v>
      </c>
      <c r="N371">
        <v>125</v>
      </c>
      <c r="Q371">
        <v>1.206371578978481</v>
      </c>
      <c r="R371">
        <v>2428507.8121004719</v>
      </c>
      <c r="S371">
        <v>-6.1590487515132799E-3</v>
      </c>
      <c r="T371">
        <v>1111.217336052197</v>
      </c>
      <c r="U371">
        <v>381.22860755592978</v>
      </c>
      <c r="V371">
        <v>245.84454337438001</v>
      </c>
      <c r="W371">
        <v>1.550689725805233</v>
      </c>
      <c r="X371" t="s">
        <v>57</v>
      </c>
      <c r="Z371">
        <v>730.26300000000003</v>
      </c>
      <c r="AA371">
        <v>95.163399999999996</v>
      </c>
      <c r="AB371">
        <v>50.272200000000012</v>
      </c>
      <c r="AC371">
        <v>17.82409942049614</v>
      </c>
      <c r="AD371">
        <v>65.092126843714581</v>
      </c>
      <c r="AE371">
        <v>65.092126843714581</v>
      </c>
      <c r="AF371" t="s">
        <v>58</v>
      </c>
      <c r="AG371" t="b">
        <v>1</v>
      </c>
      <c r="AH371">
        <v>3.651916728475177</v>
      </c>
      <c r="AI371">
        <v>726.32899999999995</v>
      </c>
      <c r="AJ371">
        <v>91.310100000000006</v>
      </c>
      <c r="AK371">
        <v>50.383499999999998</v>
      </c>
      <c r="AL371">
        <v>17.462555398001939</v>
      </c>
      <c r="AM371">
        <v>64.826701338071544</v>
      </c>
      <c r="AN371">
        <v>64.826701338071544</v>
      </c>
      <c r="AO371" t="s">
        <v>58</v>
      </c>
      <c r="AP371" t="b">
        <v>1</v>
      </c>
      <c r="AQ371">
        <v>3.7123261665064788</v>
      </c>
      <c r="AR371">
        <v>730.26300000000003</v>
      </c>
      <c r="AS371">
        <v>65.092126843714581</v>
      </c>
      <c r="AT371">
        <v>3.7123261665064788</v>
      </c>
      <c r="AU371" s="5">
        <v>48.623818752254792</v>
      </c>
      <c r="AV371" s="5">
        <v>69.453299342243454</v>
      </c>
      <c r="AW371" s="5">
        <v>2.7731076463803395</v>
      </c>
      <c r="AX371" s="5">
        <v>3.9610520196624126</v>
      </c>
      <c r="AY371" t="s">
        <v>64</v>
      </c>
      <c r="AZ371" t="s">
        <v>11</v>
      </c>
      <c r="BA371" s="23">
        <f t="shared" si="5"/>
        <v>3.9331795798790752E-2</v>
      </c>
      <c r="BB371" s="23">
        <f>IF(AND(ISNUMBER(H371),Metadata!$H$5&gt;Metadata!$G$5),MAX(Metadata!$G$5-H371,0,H371-Metadata!$H$5)/(Metadata!$H$5-Metadata!$G$5),"Missing input")</f>
        <v>0</v>
      </c>
      <c r="BC371" s="23">
        <f>IF(AND(ISNUMBER(L371),Metadata!$H$8&gt;Metadata!$G$8),MAX(Metadata!$G$8-L371,0,L371-Metadata!$H$8)/(Metadata!$H$8-Metadata!$G$8),"Missing input")</f>
        <v>3.9331795798790752E-2</v>
      </c>
    </row>
    <row r="372" spans="1:55" x14ac:dyDescent="0.2">
      <c r="A372" t="s">
        <v>454</v>
      </c>
      <c r="B372" t="s">
        <v>444</v>
      </c>
      <c r="C372" t="s">
        <v>84</v>
      </c>
      <c r="D372" t="s">
        <v>55</v>
      </c>
      <c r="E372" t="s">
        <v>56</v>
      </c>
      <c r="F372">
        <v>11</v>
      </c>
      <c r="G372">
        <v>24.502161634428251</v>
      </c>
      <c r="H372">
        <v>33.048591474592847</v>
      </c>
      <c r="I372">
        <v>1.57</v>
      </c>
      <c r="J372">
        <v>1.5</v>
      </c>
      <c r="K372">
        <v>1.2</v>
      </c>
      <c r="L372">
        <v>0.05</v>
      </c>
      <c r="M372">
        <v>12</v>
      </c>
      <c r="N372">
        <v>125</v>
      </c>
      <c r="Q372">
        <v>1.206371578978481</v>
      </c>
      <c r="R372">
        <v>2383007.1153019848</v>
      </c>
      <c r="S372">
        <v>-6.8840701223139124E-3</v>
      </c>
      <c r="T372">
        <v>1134.971999997148</v>
      </c>
      <c r="U372">
        <v>334.16607855514201</v>
      </c>
      <c r="V372">
        <v>251.099999999369</v>
      </c>
      <c r="W372">
        <v>1.3308087556988519</v>
      </c>
      <c r="X372" t="s">
        <v>57</v>
      </c>
      <c r="Z372">
        <v>623.61699999999996</v>
      </c>
      <c r="AA372">
        <v>95.163399999999996</v>
      </c>
      <c r="AB372">
        <v>41.025399999999998</v>
      </c>
      <c r="AC372">
        <v>17.034554575892859</v>
      </c>
      <c r="AD372">
        <v>49.683588329431792</v>
      </c>
      <c r="AE372">
        <v>49.683588329431792</v>
      </c>
      <c r="AF372" t="s">
        <v>58</v>
      </c>
      <c r="AG372" t="b">
        <v>1</v>
      </c>
      <c r="AH372">
        <v>2.9166356013642729</v>
      </c>
      <c r="AI372">
        <v>622.904</v>
      </c>
      <c r="AJ372">
        <v>91.310100000000006</v>
      </c>
      <c r="AK372">
        <v>39.358900000000013</v>
      </c>
      <c r="AL372">
        <v>16.703195161877051</v>
      </c>
      <c r="AM372">
        <v>49.700020117597653</v>
      </c>
      <c r="AN372">
        <v>49.700020117597653</v>
      </c>
      <c r="AO372" t="s">
        <v>58</v>
      </c>
      <c r="AP372" t="b">
        <v>1</v>
      </c>
      <c r="AQ372">
        <v>2.975479819036762</v>
      </c>
      <c r="AR372">
        <v>623.61699999999996</v>
      </c>
      <c r="AS372">
        <v>49.700020117597653</v>
      </c>
      <c r="AT372">
        <v>2.975479819036762</v>
      </c>
      <c r="AU372" s="5">
        <v>37.125915027845444</v>
      </c>
      <c r="AV372" s="5">
        <v>53.02992146547669</v>
      </c>
      <c r="AW372" s="5">
        <v>2.222683424820461</v>
      </c>
      <c r="AX372" s="5">
        <v>3.1748369669122249</v>
      </c>
      <c r="AY372" t="s">
        <v>64</v>
      </c>
      <c r="AZ372" t="s">
        <v>11</v>
      </c>
      <c r="BA372" s="23">
        <f t="shared" si="5"/>
        <v>3.9331795798790752E-2</v>
      </c>
      <c r="BB372" s="23">
        <f>IF(AND(ISNUMBER(H372),Metadata!$H$5&gt;Metadata!$G$5),MAX(Metadata!$G$5-H372,0,H372-Metadata!$H$5)/(Metadata!$H$5-Metadata!$G$5),"Missing input")</f>
        <v>0</v>
      </c>
      <c r="BC372" s="23">
        <f>IF(AND(ISNUMBER(L372),Metadata!$H$8&gt;Metadata!$G$8),MAX(Metadata!$G$8-L372,0,L372-Metadata!$H$8)/(Metadata!$H$8-Metadata!$G$8),"Missing input")</f>
        <v>3.9331795798790752E-2</v>
      </c>
    </row>
    <row r="373" spans="1:55" x14ac:dyDescent="0.2">
      <c r="A373" t="s">
        <v>455</v>
      </c>
      <c r="B373" t="s">
        <v>444</v>
      </c>
      <c r="C373" t="s">
        <v>84</v>
      </c>
      <c r="D373" t="s">
        <v>55</v>
      </c>
      <c r="E373" t="s">
        <v>56</v>
      </c>
      <c r="F373">
        <v>12</v>
      </c>
      <c r="G373">
        <v>56.241153781572699</v>
      </c>
      <c r="H373">
        <v>14.78764467513273</v>
      </c>
      <c r="I373">
        <v>1.57</v>
      </c>
      <c r="J373">
        <v>1.5</v>
      </c>
      <c r="K373">
        <v>1.2</v>
      </c>
      <c r="L373">
        <v>0.05</v>
      </c>
      <c r="M373">
        <v>12</v>
      </c>
      <c r="N373">
        <v>125</v>
      </c>
      <c r="Q373">
        <v>1.206371578978481</v>
      </c>
      <c r="R373">
        <v>2448743.9197241841</v>
      </c>
      <c r="S373">
        <v>-4.8387272158586436E-3</v>
      </c>
      <c r="T373">
        <v>1060.8343060705299</v>
      </c>
      <c r="U373">
        <v>461.18138055412891</v>
      </c>
      <c r="V373">
        <v>234.69785532533859</v>
      </c>
      <c r="W373">
        <v>1.9650004040933331</v>
      </c>
      <c r="X373" t="s">
        <v>57</v>
      </c>
      <c r="Z373">
        <v>827.95500000000004</v>
      </c>
      <c r="AA373">
        <v>95.163399999999996</v>
      </c>
      <c r="AB373">
        <v>65.006200000000007</v>
      </c>
      <c r="AC373">
        <v>16.86429058284331</v>
      </c>
      <c r="AE373">
        <v>95.163399999999996</v>
      </c>
      <c r="AF373" t="s">
        <v>62</v>
      </c>
      <c r="AG373" t="b">
        <v>0</v>
      </c>
      <c r="AH373">
        <v>5.6428937542628326</v>
      </c>
      <c r="AI373">
        <v>821.94100000000003</v>
      </c>
      <c r="AJ373">
        <v>91.310100000000006</v>
      </c>
      <c r="AK373">
        <v>64.811499999999995</v>
      </c>
      <c r="AL373">
        <v>16.424101876185329</v>
      </c>
      <c r="AN373">
        <v>91.310100000000006</v>
      </c>
      <c r="AO373" t="s">
        <v>62</v>
      </c>
      <c r="AP373" t="b">
        <v>0</v>
      </c>
      <c r="AQ373">
        <v>5.5595186079792969</v>
      </c>
      <c r="AR373">
        <v>827.95500000000004</v>
      </c>
      <c r="AS373">
        <v>95.163399999999996</v>
      </c>
      <c r="AT373">
        <v>5.6428937542628326</v>
      </c>
      <c r="AU373" s="5">
        <v>71.087059799999992</v>
      </c>
      <c r="AV373" s="5">
        <v>101.53934779999999</v>
      </c>
      <c r="AW373" s="5">
        <v>4.215241634434336</v>
      </c>
      <c r="AX373" s="5">
        <v>6.0209676357984421</v>
      </c>
      <c r="AY373" t="s">
        <v>64</v>
      </c>
      <c r="AZ373" t="s">
        <v>11</v>
      </c>
      <c r="BA373" s="23">
        <f t="shared" si="5"/>
        <v>3.9331795798790752E-2</v>
      </c>
      <c r="BB373" s="23">
        <f>IF(AND(ISNUMBER(H373),Metadata!$H$5&gt;Metadata!$G$5),MAX(Metadata!$G$5-H373,0,H373-Metadata!$H$5)/(Metadata!$H$5-Metadata!$G$5),"Missing input")</f>
        <v>0</v>
      </c>
      <c r="BC373" s="23">
        <f>IF(AND(ISNUMBER(L373),Metadata!$H$8&gt;Metadata!$G$8),MAX(Metadata!$G$8-L373,0,L373-Metadata!$H$8)/(Metadata!$H$8-Metadata!$G$8),"Missing input")</f>
        <v>3.9331795798790752E-2</v>
      </c>
    </row>
    <row r="374" spans="1:55" x14ac:dyDescent="0.2">
      <c r="A374" t="s">
        <v>456</v>
      </c>
      <c r="B374" t="s">
        <v>444</v>
      </c>
      <c r="C374" t="s">
        <v>84</v>
      </c>
      <c r="D374" t="s">
        <v>55</v>
      </c>
      <c r="E374" t="s">
        <v>56</v>
      </c>
      <c r="F374">
        <v>13</v>
      </c>
      <c r="G374">
        <v>49.119901382435643</v>
      </c>
      <c r="H374">
        <v>22.54933477691009</v>
      </c>
      <c r="I374">
        <v>1.57</v>
      </c>
      <c r="J374">
        <v>1.5</v>
      </c>
      <c r="K374">
        <v>1.2</v>
      </c>
      <c r="L374">
        <v>0.05</v>
      </c>
      <c r="M374">
        <v>12</v>
      </c>
      <c r="N374">
        <v>125</v>
      </c>
      <c r="Q374">
        <v>1.206371578978481</v>
      </c>
      <c r="R374">
        <v>3276584.6264440492</v>
      </c>
      <c r="S374">
        <v>-6.0139807667524458E-3</v>
      </c>
      <c r="T374">
        <v>1412.968799359719</v>
      </c>
      <c r="U374">
        <v>436.72679835857213</v>
      </c>
      <c r="V374">
        <v>312.60371667250428</v>
      </c>
      <c r="W374">
        <v>1.3970620791310171</v>
      </c>
      <c r="X374" t="s">
        <v>57</v>
      </c>
      <c r="Z374">
        <v>900.28599999999994</v>
      </c>
      <c r="AA374">
        <v>95.163399999999996</v>
      </c>
      <c r="AB374">
        <v>51.296399999999998</v>
      </c>
      <c r="AC374">
        <v>17.32456062874251</v>
      </c>
      <c r="AD374">
        <v>67.964018338432567</v>
      </c>
      <c r="AE374">
        <v>67.964018338432567</v>
      </c>
      <c r="AF374" t="s">
        <v>58</v>
      </c>
      <c r="AG374" t="b">
        <v>1</v>
      </c>
      <c r="AH374">
        <v>3.9229865504165269</v>
      </c>
      <c r="AI374">
        <v>894.65099999999995</v>
      </c>
      <c r="AJ374">
        <v>91.310100000000006</v>
      </c>
      <c r="AK374">
        <v>51.757599999999996</v>
      </c>
      <c r="AL374">
        <v>16.97093772884055</v>
      </c>
      <c r="AM374">
        <v>67.861422399808589</v>
      </c>
      <c r="AN374">
        <v>67.861422399808589</v>
      </c>
      <c r="AO374" t="s">
        <v>58</v>
      </c>
      <c r="AP374" t="b">
        <v>1</v>
      </c>
      <c r="AQ374">
        <v>3.998684308674608</v>
      </c>
      <c r="AR374">
        <v>900.28599999999994</v>
      </c>
      <c r="AS374">
        <v>67.964018338432567</v>
      </c>
      <c r="AT374">
        <v>3.998684308674608</v>
      </c>
      <c r="AU374" s="5">
        <v>50.76912169880913</v>
      </c>
      <c r="AV374" s="5">
        <v>72.517607567107547</v>
      </c>
      <c r="AW374" s="5">
        <v>2.987017178579932</v>
      </c>
      <c r="AX374" s="5">
        <v>4.2665961573558064</v>
      </c>
      <c r="AY374" t="s">
        <v>64</v>
      </c>
      <c r="AZ374" t="s">
        <v>11</v>
      </c>
      <c r="BA374" s="23">
        <f t="shared" si="5"/>
        <v>3.9331795798790752E-2</v>
      </c>
      <c r="BB374" s="23">
        <f>IF(AND(ISNUMBER(H374),Metadata!$H$5&gt;Metadata!$G$5),MAX(Metadata!$G$5-H374,0,H374-Metadata!$H$5)/(Metadata!$H$5-Metadata!$G$5),"Missing input")</f>
        <v>0</v>
      </c>
      <c r="BC374" s="23">
        <f>IF(AND(ISNUMBER(L374),Metadata!$H$8&gt;Metadata!$G$8),MAX(Metadata!$G$8-L374,0,L374-Metadata!$H$8)/(Metadata!$H$8-Metadata!$G$8),"Missing input")</f>
        <v>3.9331795798790752E-2</v>
      </c>
    </row>
    <row r="375" spans="1:55" x14ac:dyDescent="0.2">
      <c r="A375" t="s">
        <v>457</v>
      </c>
      <c r="B375" t="s">
        <v>444</v>
      </c>
      <c r="C375" t="s">
        <v>84</v>
      </c>
      <c r="D375" t="s">
        <v>55</v>
      </c>
      <c r="E375" t="s">
        <v>56</v>
      </c>
      <c r="F375">
        <v>14</v>
      </c>
      <c r="G375">
        <v>37.958866376576751</v>
      </c>
      <c r="H375">
        <v>9.8264864335603903</v>
      </c>
      <c r="I375">
        <v>1.57</v>
      </c>
      <c r="J375">
        <v>1.5</v>
      </c>
      <c r="K375">
        <v>1.2</v>
      </c>
      <c r="L375">
        <v>0.05</v>
      </c>
      <c r="M375">
        <v>12</v>
      </c>
      <c r="N375">
        <v>125</v>
      </c>
      <c r="Q375">
        <v>1.206371578978481</v>
      </c>
      <c r="R375">
        <v>1072728.181448289</v>
      </c>
      <c r="S375">
        <v>-3.9809646809408359E-3</v>
      </c>
      <c r="T375">
        <v>610.81355109044614</v>
      </c>
      <c r="U375">
        <v>394.50456499311781</v>
      </c>
      <c r="V375">
        <v>135.13574139169171</v>
      </c>
      <c r="W375">
        <v>2.919320684005013</v>
      </c>
      <c r="X375" t="s">
        <v>57</v>
      </c>
      <c r="Z375">
        <v>572.52300000000002</v>
      </c>
      <c r="AA375">
        <v>95.163399999999996</v>
      </c>
      <c r="AB375">
        <v>65.006200000000007</v>
      </c>
      <c r="AC375">
        <v>17.71115697986577</v>
      </c>
      <c r="AE375">
        <v>95.163399999999996</v>
      </c>
      <c r="AF375" t="s">
        <v>62</v>
      </c>
      <c r="AG375" t="b">
        <v>0</v>
      </c>
      <c r="AH375">
        <v>5.3730764234195858</v>
      </c>
      <c r="AI375">
        <v>566.56100000000004</v>
      </c>
      <c r="AJ375">
        <v>91.310100000000006</v>
      </c>
      <c r="AK375">
        <v>70.096800000000002</v>
      </c>
      <c r="AL375">
        <v>17.15312164993075</v>
      </c>
      <c r="AN375">
        <v>91.310100000000006</v>
      </c>
      <c r="AO375" t="s">
        <v>62</v>
      </c>
      <c r="AP375" t="b">
        <v>0</v>
      </c>
      <c r="AQ375">
        <v>5.3232351442204484</v>
      </c>
      <c r="AR375">
        <v>572.52300000000002</v>
      </c>
      <c r="AS375">
        <v>95.163399999999996</v>
      </c>
      <c r="AT375">
        <v>5.3730764234195858</v>
      </c>
      <c r="AU375" s="5">
        <v>71.087059799999992</v>
      </c>
      <c r="AV375" s="5">
        <v>101.53934779999999</v>
      </c>
      <c r="AW375" s="5">
        <v>4.0136880882944306</v>
      </c>
      <c r="AX375" s="5">
        <v>5.7330725437886976</v>
      </c>
      <c r="AY375" t="s">
        <v>64</v>
      </c>
      <c r="AZ375" t="s">
        <v>11</v>
      </c>
      <c r="BA375" s="23">
        <f t="shared" si="5"/>
        <v>3.9331795798790752E-2</v>
      </c>
      <c r="BB375" s="23">
        <f>IF(AND(ISNUMBER(H375),Metadata!$H$5&gt;Metadata!$G$5),MAX(Metadata!$G$5-H375,0,H375-Metadata!$H$5)/(Metadata!$H$5-Metadata!$G$5),"Missing input")</f>
        <v>0</v>
      </c>
      <c r="BC375" s="23">
        <f>IF(AND(ISNUMBER(L375),Metadata!$H$8&gt;Metadata!$G$8),MAX(Metadata!$G$8-L375,0,L375-Metadata!$H$8)/(Metadata!$H$8-Metadata!$G$8),"Missing input")</f>
        <v>3.9331795798790752E-2</v>
      </c>
    </row>
    <row r="376" spans="1:55" x14ac:dyDescent="0.2">
      <c r="A376" t="s">
        <v>458</v>
      </c>
      <c r="B376" t="s">
        <v>444</v>
      </c>
      <c r="C376" t="s">
        <v>84</v>
      </c>
      <c r="D376" t="s">
        <v>55</v>
      </c>
      <c r="E376" t="s">
        <v>56</v>
      </c>
      <c r="F376">
        <v>15</v>
      </c>
      <c r="G376">
        <v>27.308053040943211</v>
      </c>
      <c r="H376">
        <v>5.2772178758296739</v>
      </c>
      <c r="I376">
        <v>1.57</v>
      </c>
      <c r="J376">
        <v>1.5</v>
      </c>
      <c r="K376">
        <v>1.2</v>
      </c>
      <c r="L376">
        <v>0.05</v>
      </c>
      <c r="M376">
        <v>12</v>
      </c>
      <c r="N376">
        <v>125</v>
      </c>
      <c r="Q376">
        <v>1.206371578978481</v>
      </c>
      <c r="R376">
        <v>386052.96198531118</v>
      </c>
      <c r="S376">
        <v>-3.221752759727681E-3</v>
      </c>
      <c r="T376">
        <v>428.52672237905682</v>
      </c>
      <c r="U376">
        <v>347.90390616620681</v>
      </c>
      <c r="V376">
        <v>94.806796986516986</v>
      </c>
      <c r="W376">
        <v>3.6696093236404161</v>
      </c>
      <c r="X376" t="s">
        <v>57</v>
      </c>
      <c r="Z376">
        <v>439.65899999999999</v>
      </c>
      <c r="AA376">
        <v>95.163399999999996</v>
      </c>
      <c r="AB376">
        <v>51.296399999999998</v>
      </c>
      <c r="AC376">
        <v>18.89596527286508</v>
      </c>
      <c r="AE376">
        <v>95.163399999999996</v>
      </c>
      <c r="AF376" t="s">
        <v>62</v>
      </c>
      <c r="AG376" t="b">
        <v>0</v>
      </c>
      <c r="AH376">
        <v>5.0361756399211961</v>
      </c>
      <c r="AI376">
        <v>431.55500000000001</v>
      </c>
      <c r="AJ376">
        <v>91.310100000000006</v>
      </c>
      <c r="AK376">
        <v>39.358900000000013</v>
      </c>
      <c r="AL376">
        <v>18.021980075115561</v>
      </c>
      <c r="AN376">
        <v>91.310100000000006</v>
      </c>
      <c r="AO376" t="s">
        <v>62</v>
      </c>
      <c r="AP376" t="b">
        <v>0</v>
      </c>
      <c r="AQ376">
        <v>5.0665964349877077</v>
      </c>
      <c r="AR376">
        <v>439.65899999999999</v>
      </c>
      <c r="AS376">
        <v>95.163399999999996</v>
      </c>
      <c r="AT376">
        <v>5.0665964349877077</v>
      </c>
      <c r="AU376" s="5">
        <v>71.087059799999992</v>
      </c>
      <c r="AV376" s="5">
        <v>101.53934779999999</v>
      </c>
      <c r="AW376" s="5">
        <v>3.7847475369358174</v>
      </c>
      <c r="AX376" s="5">
        <v>5.4060583961318835</v>
      </c>
      <c r="AY376" t="s">
        <v>64</v>
      </c>
      <c r="AZ376" t="s">
        <v>11</v>
      </c>
      <c r="BA376" s="23">
        <f t="shared" si="5"/>
        <v>3.9331795798790752E-2</v>
      </c>
      <c r="BB376" s="23">
        <f>IF(AND(ISNUMBER(H376),Metadata!$H$5&gt;Metadata!$G$5),MAX(Metadata!$G$5-H376,0,H376-Metadata!$H$5)/(Metadata!$H$5-Metadata!$G$5),"Missing input")</f>
        <v>0</v>
      </c>
      <c r="BC376" s="23">
        <f>IF(AND(ISNUMBER(L376),Metadata!$H$8&gt;Metadata!$G$8),MAX(Metadata!$G$8-L376,0,L376-Metadata!$H$8)/(Metadata!$H$8-Metadata!$G$8),"Missing input")</f>
        <v>3.9331795798790752E-2</v>
      </c>
    </row>
    <row r="377" spans="1:55" x14ac:dyDescent="0.2">
      <c r="A377" t="s">
        <v>459</v>
      </c>
      <c r="B377" t="s">
        <v>444</v>
      </c>
      <c r="C377" t="s">
        <v>84</v>
      </c>
      <c r="D377" t="s">
        <v>55</v>
      </c>
      <c r="E377" t="s">
        <v>56</v>
      </c>
      <c r="F377">
        <v>16</v>
      </c>
      <c r="G377">
        <v>31.1252119640606</v>
      </c>
      <c r="H377">
        <v>39.5069074866867</v>
      </c>
      <c r="I377">
        <v>1.57</v>
      </c>
      <c r="J377">
        <v>1.5</v>
      </c>
      <c r="K377">
        <v>1.2</v>
      </c>
      <c r="L377">
        <v>0.05</v>
      </c>
      <c r="M377">
        <v>12</v>
      </c>
      <c r="N377">
        <v>125</v>
      </c>
      <c r="Q377">
        <v>1.206371578978481</v>
      </c>
      <c r="R377">
        <v>3642703.933702969</v>
      </c>
      <c r="S377">
        <v>-7.003295013425879E-3</v>
      </c>
      <c r="T377">
        <v>1657.5346780090949</v>
      </c>
      <c r="U377">
        <v>365.50492061322012</v>
      </c>
      <c r="V377">
        <v>366.71121194891492</v>
      </c>
      <c r="W377">
        <v>0.9967105141692183</v>
      </c>
      <c r="X377" t="s">
        <v>87</v>
      </c>
      <c r="Z377">
        <v>741.89599999999996</v>
      </c>
      <c r="AA377">
        <v>95.163399999999996</v>
      </c>
      <c r="AB377">
        <v>36.549900000000001</v>
      </c>
      <c r="AC377">
        <v>15.88095522759602</v>
      </c>
      <c r="AD377">
        <v>40.782005711564423</v>
      </c>
      <c r="AE377">
        <v>40.782005711564423</v>
      </c>
      <c r="AF377" t="s">
        <v>58</v>
      </c>
      <c r="AG377" t="b">
        <v>1</v>
      </c>
      <c r="AH377">
        <v>2.567981908336241</v>
      </c>
      <c r="AI377">
        <v>737.33600000000001</v>
      </c>
      <c r="AJ377">
        <v>91.310100000000006</v>
      </c>
      <c r="AK377">
        <v>35.958300000000001</v>
      </c>
      <c r="AL377">
        <v>15.10524844290657</v>
      </c>
      <c r="AM377">
        <v>40.045777207387317</v>
      </c>
      <c r="AN377">
        <v>40.045777207387317</v>
      </c>
      <c r="AO377" t="s">
        <v>58</v>
      </c>
      <c r="AP377" t="b">
        <v>1</v>
      </c>
      <c r="AQ377">
        <v>2.651116753143695</v>
      </c>
      <c r="AR377">
        <v>741.89599999999996</v>
      </c>
      <c r="AS377">
        <v>40.782005711564423</v>
      </c>
      <c r="AT377">
        <v>2.651116753143695</v>
      </c>
      <c r="AU377" s="5" t="s">
        <v>88</v>
      </c>
      <c r="AV377" s="5" t="s">
        <v>88</v>
      </c>
      <c r="AW377" s="5" t="s">
        <v>88</v>
      </c>
      <c r="AX377" s="5" t="s">
        <v>88</v>
      </c>
      <c r="AY377" t="s">
        <v>64</v>
      </c>
      <c r="AZ377" t="s">
        <v>11</v>
      </c>
      <c r="BA377" s="23">
        <f t="shared" si="5"/>
        <v>3.9331795798790752E-2</v>
      </c>
      <c r="BB377" s="23">
        <f>IF(AND(ISNUMBER(H377),Metadata!$H$5&gt;Metadata!$G$5),MAX(Metadata!$G$5-H377,0,H377-Metadata!$H$5)/(Metadata!$H$5-Metadata!$G$5),"Missing input")</f>
        <v>0</v>
      </c>
      <c r="BC377" s="23">
        <f>IF(AND(ISNUMBER(L377),Metadata!$H$8&gt;Metadata!$G$8),MAX(Metadata!$G$8-L377,0,L377-Metadata!$H$8)/(Metadata!$H$8-Metadata!$G$8),"Missing input")</f>
        <v>3.9331795798790752E-2</v>
      </c>
    </row>
    <row r="378" spans="1:55" x14ac:dyDescent="0.2">
      <c r="A378" t="s">
        <v>460</v>
      </c>
      <c r="B378" t="s">
        <v>444</v>
      </c>
      <c r="C378" t="s">
        <v>84</v>
      </c>
      <c r="D378" t="s">
        <v>55</v>
      </c>
      <c r="E378" t="s">
        <v>56</v>
      </c>
      <c r="F378">
        <v>17</v>
      </c>
      <c r="G378">
        <v>46.390186033042063</v>
      </c>
      <c r="H378">
        <v>16.21387510983789</v>
      </c>
      <c r="I378">
        <v>1.57</v>
      </c>
      <c r="J378">
        <v>1.5</v>
      </c>
      <c r="K378">
        <v>1.2</v>
      </c>
      <c r="L378">
        <v>0.05</v>
      </c>
      <c r="M378">
        <v>12</v>
      </c>
      <c r="N378">
        <v>125</v>
      </c>
      <c r="Q378">
        <v>1.206371578978481</v>
      </c>
      <c r="R378">
        <v>2210215.3729856689</v>
      </c>
      <c r="S378">
        <v>-5.0776091145972651E-3</v>
      </c>
      <c r="T378">
        <v>992.19235058261199</v>
      </c>
      <c r="U378">
        <v>426.88594866080939</v>
      </c>
      <c r="V378">
        <v>219.5115819873036</v>
      </c>
      <c r="W378">
        <v>1.9447080869086</v>
      </c>
      <c r="X378" t="s">
        <v>57</v>
      </c>
      <c r="Z378">
        <v>742.54300000000001</v>
      </c>
      <c r="AA378">
        <v>95.163399999999996</v>
      </c>
      <c r="AB378">
        <v>37.809100000000001</v>
      </c>
      <c r="AC378">
        <v>16.30988172033285</v>
      </c>
      <c r="AE378">
        <v>95.163399999999996</v>
      </c>
      <c r="AF378" t="s">
        <v>62</v>
      </c>
      <c r="AG378" t="b">
        <v>0</v>
      </c>
      <c r="AH378">
        <v>5.8347081623138797</v>
      </c>
      <c r="AI378">
        <v>744.33100000000002</v>
      </c>
      <c r="AJ378">
        <v>91.310100000000006</v>
      </c>
      <c r="AK378">
        <v>39.358900000000013</v>
      </c>
      <c r="AL378">
        <v>16.221259448305819</v>
      </c>
      <c r="AN378">
        <v>91.310100000000006</v>
      </c>
      <c r="AO378" t="s">
        <v>62</v>
      </c>
      <c r="AP378" t="b">
        <v>0</v>
      </c>
      <c r="AQ378">
        <v>5.629038872782262</v>
      </c>
      <c r="AR378">
        <v>744.33100000000002</v>
      </c>
      <c r="AS378">
        <v>95.163399999999996</v>
      </c>
      <c r="AT378">
        <v>5.8347081623138797</v>
      </c>
      <c r="AU378" s="5">
        <v>71.087059799999992</v>
      </c>
      <c r="AV378" s="5">
        <v>101.53934779999999</v>
      </c>
      <c r="AW378" s="5">
        <v>4.3585269972484681</v>
      </c>
      <c r="AX378" s="5">
        <v>6.2256336091889093</v>
      </c>
      <c r="AY378" t="s">
        <v>64</v>
      </c>
      <c r="AZ378" t="s">
        <v>11</v>
      </c>
      <c r="BA378" s="23">
        <f t="shared" si="5"/>
        <v>3.9331795798790752E-2</v>
      </c>
      <c r="BB378" s="23">
        <f>IF(AND(ISNUMBER(H378),Metadata!$H$5&gt;Metadata!$G$5),MAX(Metadata!$G$5-H378,0,H378-Metadata!$H$5)/(Metadata!$H$5-Metadata!$G$5),"Missing input")</f>
        <v>0</v>
      </c>
      <c r="BC378" s="23">
        <f>IF(AND(ISNUMBER(L378),Metadata!$H$8&gt;Metadata!$G$8),MAX(Metadata!$G$8-L378,0,L378-Metadata!$H$8)/(Metadata!$H$8-Metadata!$G$8),"Missing input")</f>
        <v>3.9331795798790752E-2</v>
      </c>
    </row>
    <row r="379" spans="1:55" x14ac:dyDescent="0.2">
      <c r="A379" t="s">
        <v>461</v>
      </c>
      <c r="B379" t="s">
        <v>444</v>
      </c>
      <c r="C379" t="s">
        <v>84</v>
      </c>
      <c r="D379" t="s">
        <v>55</v>
      </c>
      <c r="E379" t="s">
        <v>56</v>
      </c>
      <c r="F379">
        <v>18</v>
      </c>
      <c r="G379">
        <v>54.165408264435399</v>
      </c>
      <c r="H379">
        <v>18.25275816413232</v>
      </c>
      <c r="I379">
        <v>1.57</v>
      </c>
      <c r="J379">
        <v>1.5</v>
      </c>
      <c r="K379">
        <v>1.2</v>
      </c>
      <c r="L379">
        <v>0.05</v>
      </c>
      <c r="M379">
        <v>12</v>
      </c>
      <c r="N379">
        <v>125</v>
      </c>
      <c r="Q379">
        <v>1.206371578978481</v>
      </c>
      <c r="R379">
        <v>2919725.6187367002</v>
      </c>
      <c r="S379">
        <v>-5.4048200960353822E-3</v>
      </c>
      <c r="T379">
        <v>1250.244632367107</v>
      </c>
      <c r="U379">
        <v>454.22166711882102</v>
      </c>
      <c r="V379">
        <v>276.6027947714839</v>
      </c>
      <c r="W379">
        <v>1.642144171009108</v>
      </c>
      <c r="X379" t="s">
        <v>57</v>
      </c>
      <c r="Z379">
        <v>881.73299999999995</v>
      </c>
      <c r="AA379">
        <v>95.096000000000004</v>
      </c>
      <c r="AB379">
        <v>51.296399999999998</v>
      </c>
      <c r="AC379">
        <v>16.966130282987269</v>
      </c>
      <c r="AD379">
        <v>51.457264225816502</v>
      </c>
      <c r="AE379">
        <v>51.457264225816502</v>
      </c>
      <c r="AF379" t="s">
        <v>58</v>
      </c>
      <c r="AG379" t="b">
        <v>1</v>
      </c>
      <c r="AH379">
        <v>3.032940533140613</v>
      </c>
      <c r="AI379">
        <v>860.65599999999995</v>
      </c>
      <c r="AJ379">
        <v>91.377399999999994</v>
      </c>
      <c r="AK379">
        <v>39.358900000000013</v>
      </c>
      <c r="AL379">
        <v>15.991549771341459</v>
      </c>
      <c r="AM379">
        <v>85.441330047903477</v>
      </c>
      <c r="AN379">
        <v>85.441330047903477</v>
      </c>
      <c r="AO379" t="s">
        <v>58</v>
      </c>
      <c r="AP379" t="b">
        <v>1</v>
      </c>
      <c r="AQ379">
        <v>5.3429049260143193</v>
      </c>
      <c r="AR379">
        <v>881.73299999999995</v>
      </c>
      <c r="AS379">
        <v>85.441330047903477</v>
      </c>
      <c r="AT379">
        <v>5.3429049260143193</v>
      </c>
      <c r="AU379" s="5">
        <v>63.824673545783895</v>
      </c>
      <c r="AV379" s="5">
        <v>91.165899161113003</v>
      </c>
      <c r="AW379" s="5">
        <v>3.9911499797326964</v>
      </c>
      <c r="AX379" s="5">
        <v>5.700879556057278</v>
      </c>
      <c r="AY379" t="s">
        <v>64</v>
      </c>
      <c r="AZ379" t="s">
        <v>11</v>
      </c>
      <c r="BA379" s="23">
        <f t="shared" si="5"/>
        <v>3.9331795798790752E-2</v>
      </c>
      <c r="BB379" s="23">
        <f>IF(AND(ISNUMBER(H379),Metadata!$H$5&gt;Metadata!$G$5),MAX(Metadata!$G$5-H379,0,H379-Metadata!$H$5)/(Metadata!$H$5-Metadata!$G$5),"Missing input")</f>
        <v>0</v>
      </c>
      <c r="BC379" s="23">
        <f>IF(AND(ISNUMBER(L379),Metadata!$H$8&gt;Metadata!$G$8),MAX(Metadata!$G$8-L379,0,L379-Metadata!$H$8)/(Metadata!$H$8-Metadata!$G$8),"Missing input")</f>
        <v>3.9331795798790752E-2</v>
      </c>
    </row>
    <row r="380" spans="1:55" x14ac:dyDescent="0.2">
      <c r="A380" t="s">
        <v>462</v>
      </c>
      <c r="B380" t="s">
        <v>444</v>
      </c>
      <c r="C380" t="s">
        <v>84</v>
      </c>
      <c r="D380" t="s">
        <v>55</v>
      </c>
      <c r="E380" t="s">
        <v>56</v>
      </c>
      <c r="F380">
        <v>19</v>
      </c>
      <c r="G380">
        <v>21.707483118551171</v>
      </c>
      <c r="H380">
        <v>43.497365085878002</v>
      </c>
      <c r="I380">
        <v>1.57</v>
      </c>
      <c r="J380">
        <v>1.5</v>
      </c>
      <c r="K380">
        <v>1.2</v>
      </c>
      <c r="L380">
        <v>0.05</v>
      </c>
      <c r="M380">
        <v>12</v>
      </c>
      <c r="N380">
        <v>125</v>
      </c>
      <c r="Q380">
        <v>1.206371578978481</v>
      </c>
      <c r="R380">
        <v>2786376.2799094608</v>
      </c>
      <c r="S380">
        <v>-6.9569138122322063E-3</v>
      </c>
      <c r="T380">
        <v>1327.844178866673</v>
      </c>
      <c r="U380">
        <v>319.67636247252739</v>
      </c>
      <c r="V380">
        <v>293.77083603244972</v>
      </c>
      <c r="W380">
        <v>1.0881827712714689</v>
      </c>
      <c r="X380" t="s">
        <v>87</v>
      </c>
      <c r="Z380">
        <v>593.56299999999999</v>
      </c>
      <c r="AA380">
        <v>95.18419999999999</v>
      </c>
      <c r="AB380">
        <v>34.786900000000003</v>
      </c>
      <c r="AC380">
        <v>15.85402140544041</v>
      </c>
      <c r="AD380">
        <v>38.025679125419792</v>
      </c>
      <c r="AE380">
        <v>38.025679125419792</v>
      </c>
      <c r="AF380" t="s">
        <v>58</v>
      </c>
      <c r="AG380" t="b">
        <v>1</v>
      </c>
      <c r="AH380">
        <v>2.3984879389888429</v>
      </c>
      <c r="AI380">
        <v>588.93100000000004</v>
      </c>
      <c r="AJ380">
        <v>91.289299999999997</v>
      </c>
      <c r="AK380">
        <v>32.289299999999997</v>
      </c>
      <c r="AL380">
        <v>15.000018296973961</v>
      </c>
      <c r="AM380">
        <v>39.432561404769046</v>
      </c>
      <c r="AN380">
        <v>39.432561404769046</v>
      </c>
      <c r="AO380" t="s">
        <v>58</v>
      </c>
      <c r="AP380" t="b">
        <v>1</v>
      </c>
      <c r="AQ380">
        <v>2.6288342203371839</v>
      </c>
      <c r="AR380">
        <v>593.56299999999999</v>
      </c>
      <c r="AS380">
        <v>39.432561404769046</v>
      </c>
      <c r="AT380">
        <v>2.6288342203371839</v>
      </c>
      <c r="AU380" s="5" t="s">
        <v>88</v>
      </c>
      <c r="AV380" s="5" t="s">
        <v>88</v>
      </c>
      <c r="AW380" s="5" t="s">
        <v>88</v>
      </c>
      <c r="AX380" s="5" t="s">
        <v>88</v>
      </c>
      <c r="AY380" t="s">
        <v>64</v>
      </c>
      <c r="AZ380" t="s">
        <v>194</v>
      </c>
      <c r="BA380" s="23">
        <f t="shared" si="5"/>
        <v>9.4596678167087334E-2</v>
      </c>
      <c r="BB380" s="23">
        <f>IF(AND(ISNUMBER(H380),Metadata!$H$5&gt;Metadata!$G$5),MAX(Metadata!$G$5-H380,0,H380-Metadata!$H$5)/(Metadata!$H$5-Metadata!$G$5),"Missing input")</f>
        <v>9.4596678167087334E-2</v>
      </c>
      <c r="BC380" s="23">
        <f>IF(AND(ISNUMBER(L380),Metadata!$H$8&gt;Metadata!$G$8),MAX(Metadata!$G$8-L380,0,L380-Metadata!$H$8)/(Metadata!$H$8-Metadata!$G$8),"Missing input")</f>
        <v>3.9331795798790752E-2</v>
      </c>
    </row>
    <row r="381" spans="1:55" x14ac:dyDescent="0.2">
      <c r="A381" t="s">
        <v>463</v>
      </c>
      <c r="B381" t="s">
        <v>444</v>
      </c>
      <c r="C381" t="s">
        <v>84</v>
      </c>
      <c r="D381" t="s">
        <v>55</v>
      </c>
      <c r="E381" t="s">
        <v>56</v>
      </c>
      <c r="F381">
        <v>20</v>
      </c>
      <c r="G381">
        <v>53.035991243371583</v>
      </c>
      <c r="H381">
        <v>30.34654288470276</v>
      </c>
      <c r="I381">
        <v>1.57</v>
      </c>
      <c r="J381">
        <v>1.5</v>
      </c>
      <c r="K381">
        <v>1.2</v>
      </c>
      <c r="L381">
        <v>0.05</v>
      </c>
      <c r="M381">
        <v>12</v>
      </c>
      <c r="N381">
        <v>125</v>
      </c>
      <c r="Q381">
        <v>1.206371578978481</v>
      </c>
      <c r="R381">
        <v>4782098.2730990862</v>
      </c>
      <c r="S381">
        <v>-6.7472245264692627E-3</v>
      </c>
      <c r="T381">
        <v>2064.392118408005</v>
      </c>
      <c r="U381">
        <v>450.37879769466292</v>
      </c>
      <c r="V381">
        <v>456.72392000177121</v>
      </c>
      <c r="W381">
        <v>0.98610731334788915</v>
      </c>
      <c r="X381" t="s">
        <v>87</v>
      </c>
      <c r="Z381">
        <v>1040.51</v>
      </c>
      <c r="AA381">
        <v>95.163399999999996</v>
      </c>
      <c r="AB381">
        <v>44.0137</v>
      </c>
      <c r="AC381">
        <v>16.809762079042581</v>
      </c>
      <c r="AD381">
        <v>50.494413309238823</v>
      </c>
      <c r="AE381">
        <v>50.494413309238823</v>
      </c>
      <c r="AF381" t="s">
        <v>58</v>
      </c>
      <c r="AG381" t="b">
        <v>1</v>
      </c>
      <c r="AH381">
        <v>3.003874360136976</v>
      </c>
      <c r="AI381">
        <v>1036.3800000000001</v>
      </c>
      <c r="AJ381">
        <v>91.310100000000006</v>
      </c>
      <c r="AK381">
        <v>43.513199999999998</v>
      </c>
      <c r="AL381">
        <v>16.315757476741549</v>
      </c>
      <c r="AM381">
        <v>50.593982334982968</v>
      </c>
      <c r="AN381">
        <v>50.593982334982968</v>
      </c>
      <c r="AO381" t="s">
        <v>58</v>
      </c>
      <c r="AP381" t="b">
        <v>1</v>
      </c>
      <c r="AQ381">
        <v>3.1009275791887529</v>
      </c>
      <c r="AR381">
        <v>1040.51</v>
      </c>
      <c r="AS381">
        <v>50.593982334982968</v>
      </c>
      <c r="AT381">
        <v>3.1009275791887529</v>
      </c>
      <c r="AU381" s="5" t="s">
        <v>88</v>
      </c>
      <c r="AV381" s="5" t="s">
        <v>88</v>
      </c>
      <c r="AW381" s="5" t="s">
        <v>88</v>
      </c>
      <c r="AX381" s="5" t="s">
        <v>88</v>
      </c>
      <c r="AY381" t="s">
        <v>64</v>
      </c>
      <c r="AZ381" t="s">
        <v>11</v>
      </c>
      <c r="BA381" s="23">
        <f t="shared" si="5"/>
        <v>3.9331795798790752E-2</v>
      </c>
      <c r="BB381" s="23">
        <f>IF(AND(ISNUMBER(H381),Metadata!$H$5&gt;Metadata!$G$5),MAX(Metadata!$G$5-H381,0,H381-Metadata!$H$5)/(Metadata!$H$5-Metadata!$G$5),"Missing input")</f>
        <v>0</v>
      </c>
      <c r="BC381" s="23">
        <f>IF(AND(ISNUMBER(L381),Metadata!$H$8&gt;Metadata!$G$8),MAX(Metadata!$G$8-L381,0,L381-Metadata!$H$8)/(Metadata!$H$8-Metadata!$G$8),"Missing input")</f>
        <v>3.9331795798790752E-2</v>
      </c>
    </row>
    <row r="382" spans="1:55" x14ac:dyDescent="0.2">
      <c r="A382" t="s">
        <v>464</v>
      </c>
      <c r="B382" t="s">
        <v>465</v>
      </c>
      <c r="C382" t="s">
        <v>466</v>
      </c>
      <c r="D382" t="s">
        <v>55</v>
      </c>
      <c r="E382" t="s">
        <v>467</v>
      </c>
      <c r="F382">
        <v>1</v>
      </c>
      <c r="G382">
        <v>22.11413992487228</v>
      </c>
      <c r="H382">
        <v>28.832065765515338</v>
      </c>
      <c r="I382">
        <v>1.0900000000000001</v>
      </c>
      <c r="J382">
        <v>0.6</v>
      </c>
      <c r="K382">
        <v>0.54</v>
      </c>
      <c r="L382">
        <v>0.25</v>
      </c>
      <c r="N382">
        <v>125</v>
      </c>
      <c r="O382">
        <v>10</v>
      </c>
      <c r="P382">
        <v>8</v>
      </c>
      <c r="Q382">
        <v>0.53616514621265798</v>
      </c>
      <c r="R382">
        <v>1866510.334985178</v>
      </c>
      <c r="S382">
        <v>-5.1678879987753553E-3</v>
      </c>
      <c r="T382">
        <v>906.96189600658317</v>
      </c>
      <c r="U382">
        <v>672.06023102885479</v>
      </c>
      <c r="V382">
        <v>200.6552867271202</v>
      </c>
      <c r="W382">
        <v>3.3493273065006188</v>
      </c>
      <c r="X382" t="s">
        <v>57</v>
      </c>
      <c r="Y382">
        <v>8</v>
      </c>
      <c r="Z382">
        <v>512.47199999999998</v>
      </c>
      <c r="AA382">
        <v>95.163399999999996</v>
      </c>
      <c r="AB382">
        <v>35.542400000000001</v>
      </c>
      <c r="AC382">
        <v>14.795400638506869</v>
      </c>
      <c r="AD382">
        <v>41.192876606032158</v>
      </c>
      <c r="AE382">
        <v>41.192876606032158</v>
      </c>
      <c r="AF382" t="s">
        <v>58</v>
      </c>
      <c r="AG382" t="b">
        <v>1</v>
      </c>
      <c r="AH382">
        <v>2.7841677026861009</v>
      </c>
      <c r="AI382">
        <v>507.93400000000003</v>
      </c>
      <c r="AJ382">
        <v>91.310100000000006</v>
      </c>
      <c r="AK382">
        <v>35.435099999999998</v>
      </c>
      <c r="AL382">
        <v>14.18176730769231</v>
      </c>
      <c r="AM382">
        <v>40.55779098527475</v>
      </c>
      <c r="AN382">
        <v>40.55779098527475</v>
      </c>
      <c r="AO382" t="s">
        <v>58</v>
      </c>
      <c r="AP382" t="b">
        <v>1</v>
      </c>
      <c r="AQ382">
        <v>2.8598544952345861</v>
      </c>
      <c r="AR382">
        <v>512.47199999999998</v>
      </c>
      <c r="AS382">
        <v>41.192876606032158</v>
      </c>
      <c r="AT382">
        <v>2.8598544952345861</v>
      </c>
      <c r="AU382" s="5">
        <v>30.77107882470602</v>
      </c>
      <c r="AV382" s="5">
        <v>43.952799338636311</v>
      </c>
      <c r="AW382" s="5">
        <v>2.136311307940236</v>
      </c>
      <c r="AX382" s="5">
        <v>3.0514647464153031</v>
      </c>
      <c r="AY382" t="s">
        <v>59</v>
      </c>
      <c r="AZ382" t="s">
        <v>60</v>
      </c>
      <c r="BA382" s="23">
        <f t="shared" si="5"/>
        <v>0</v>
      </c>
      <c r="BB382" s="23">
        <f>IF(AND(ISNUMBER(H382),Metadata!$H$5&gt;Metadata!$G$5),MAX(Metadata!$G$5-H382,0,H382-Metadata!$H$5)/(Metadata!$H$5-Metadata!$G$5),"Missing input")</f>
        <v>0</v>
      </c>
      <c r="BC382" s="23">
        <f>IF(AND(ISNUMBER(L382),Metadata!$H$8&gt;Metadata!$G$8),MAX(Metadata!$G$8-L382,0,L382-Metadata!$H$8)/(Metadata!$H$8-Metadata!$G$8),"Missing input")</f>
        <v>0</v>
      </c>
    </row>
    <row r="383" spans="1:55" x14ac:dyDescent="0.2">
      <c r="A383" t="s">
        <v>468</v>
      </c>
      <c r="B383" t="s">
        <v>465</v>
      </c>
      <c r="C383" t="s">
        <v>466</v>
      </c>
      <c r="D383" t="s">
        <v>55</v>
      </c>
      <c r="E383" t="s">
        <v>467</v>
      </c>
      <c r="F383">
        <v>2</v>
      </c>
      <c r="G383">
        <v>39.289372610104301</v>
      </c>
      <c r="H383">
        <v>11.43599740060767</v>
      </c>
      <c r="I383">
        <v>1.0900000000000001</v>
      </c>
      <c r="J383">
        <v>0.6</v>
      </c>
      <c r="K383">
        <v>0.54</v>
      </c>
      <c r="L383">
        <v>0.25</v>
      </c>
      <c r="N383">
        <v>125</v>
      </c>
      <c r="O383">
        <v>10</v>
      </c>
      <c r="P383">
        <v>8</v>
      </c>
      <c r="Q383">
        <v>0.53616514621265798</v>
      </c>
      <c r="R383">
        <v>1301660.814121977</v>
      </c>
      <c r="S383">
        <v>-3.2631082814958529E-3</v>
      </c>
      <c r="T383">
        <v>656.6799367525573</v>
      </c>
      <c r="U383">
        <v>750.05745558684532</v>
      </c>
      <c r="V383">
        <v>145.28317184791089</v>
      </c>
      <c r="W383">
        <v>5.1627276996129998</v>
      </c>
      <c r="X383" t="s">
        <v>57</v>
      </c>
      <c r="Y383">
        <v>8</v>
      </c>
      <c r="Z383">
        <v>538.44399999999996</v>
      </c>
      <c r="AA383">
        <v>95.163399999999996</v>
      </c>
      <c r="AB383">
        <v>51.296399999999998</v>
      </c>
      <c r="AC383">
        <v>14.789186407766991</v>
      </c>
      <c r="AD383">
        <v>92.391300166520594</v>
      </c>
      <c r="AE383">
        <v>92.391300166520594</v>
      </c>
      <c r="AF383" t="s">
        <v>58</v>
      </c>
      <c r="AG383" t="b">
        <v>1</v>
      </c>
      <c r="AH383">
        <v>6.247219936182459</v>
      </c>
      <c r="AI383">
        <v>534.20299999999997</v>
      </c>
      <c r="AJ383">
        <v>91.310100000000006</v>
      </c>
      <c r="AK383">
        <v>51.757599999999996</v>
      </c>
      <c r="AL383">
        <v>14.29006943472173</v>
      </c>
      <c r="AN383">
        <v>91.310100000000006</v>
      </c>
      <c r="AO383" t="s">
        <v>62</v>
      </c>
      <c r="AP383" t="b">
        <v>0</v>
      </c>
      <c r="AQ383">
        <v>6.389759015315664</v>
      </c>
      <c r="AR383">
        <v>538.44399999999996</v>
      </c>
      <c r="AS383">
        <v>92.391300166520594</v>
      </c>
      <c r="AT383">
        <v>6.389759015315664</v>
      </c>
      <c r="AU383" s="5">
        <v>69.016301224390887</v>
      </c>
      <c r="AV383" s="5">
        <v>98.581517277677463</v>
      </c>
      <c r="AW383" s="5">
        <v>4.773149984440801</v>
      </c>
      <c r="AX383" s="5">
        <v>6.8178728693418131</v>
      </c>
      <c r="AY383" t="s">
        <v>59</v>
      </c>
      <c r="AZ383" t="s">
        <v>60</v>
      </c>
      <c r="BA383" s="23">
        <f t="shared" si="5"/>
        <v>0</v>
      </c>
      <c r="BB383" s="23">
        <f>IF(AND(ISNUMBER(H383),Metadata!$H$5&gt;Metadata!$G$5),MAX(Metadata!$G$5-H383,0,H383-Metadata!$H$5)/(Metadata!$H$5-Metadata!$G$5),"Missing input")</f>
        <v>0</v>
      </c>
      <c r="BC383" s="23">
        <f>IF(AND(ISNUMBER(L383),Metadata!$H$8&gt;Metadata!$G$8),MAX(Metadata!$G$8-L383,0,L383-Metadata!$H$8)/(Metadata!$H$8-Metadata!$G$8),"Missing input")</f>
        <v>0</v>
      </c>
    </row>
    <row r="384" spans="1:55" x14ac:dyDescent="0.2">
      <c r="A384" t="s">
        <v>469</v>
      </c>
      <c r="B384" t="s">
        <v>465</v>
      </c>
      <c r="C384" t="s">
        <v>466</v>
      </c>
      <c r="D384" t="s">
        <v>55</v>
      </c>
      <c r="E384" t="s">
        <v>467</v>
      </c>
      <c r="F384">
        <v>3</v>
      </c>
      <c r="G384">
        <v>50.720967279676117</v>
      </c>
      <c r="H384">
        <v>41.572102032205443</v>
      </c>
      <c r="I384">
        <v>1.0900000000000001</v>
      </c>
      <c r="J384">
        <v>0.6</v>
      </c>
      <c r="K384">
        <v>0.54</v>
      </c>
      <c r="L384">
        <v>0.25</v>
      </c>
      <c r="N384">
        <v>125</v>
      </c>
      <c r="O384">
        <v>10</v>
      </c>
      <c r="P384">
        <v>8</v>
      </c>
      <c r="Q384">
        <v>0.53616514621265798</v>
      </c>
      <c r="R384">
        <v>6279453.0057685468</v>
      </c>
      <c r="S384">
        <v>-5.4685460913435286E-3</v>
      </c>
      <c r="T384">
        <v>2772.4293832655658</v>
      </c>
      <c r="U384">
        <v>792.59154081609961</v>
      </c>
      <c r="V384">
        <v>613.36933258087731</v>
      </c>
      <c r="W384">
        <v>1.292192972024063</v>
      </c>
      <c r="X384" t="s">
        <v>57</v>
      </c>
      <c r="Y384">
        <v>8</v>
      </c>
      <c r="Z384">
        <v>986.24599999999998</v>
      </c>
      <c r="AA384">
        <v>95.163399999999996</v>
      </c>
      <c r="AB384">
        <v>27.986799999999999</v>
      </c>
      <c r="AC384">
        <v>13.2824825</v>
      </c>
      <c r="AD384">
        <v>29.597288833449731</v>
      </c>
      <c r="AE384">
        <v>29.597288833449731</v>
      </c>
      <c r="AF384" t="s">
        <v>58</v>
      </c>
      <c r="AG384" t="b">
        <v>1</v>
      </c>
      <c r="AH384">
        <v>2.2282949616873</v>
      </c>
      <c r="AI384">
        <v>994.00099999999998</v>
      </c>
      <c r="AJ384">
        <v>91.310100000000006</v>
      </c>
      <c r="AK384">
        <v>29.074100000000001</v>
      </c>
      <c r="AL384">
        <v>12.485240141257099</v>
      </c>
      <c r="AM384">
        <v>30.65379541505779</v>
      </c>
      <c r="AN384">
        <v>30.65379541505779</v>
      </c>
      <c r="AO384" t="s">
        <v>58</v>
      </c>
      <c r="AP384" t="b">
        <v>1</v>
      </c>
      <c r="AQ384">
        <v>2.4552027088180099</v>
      </c>
      <c r="AR384">
        <v>994.00099999999998</v>
      </c>
      <c r="AS384">
        <v>30.65379541505779</v>
      </c>
      <c r="AT384">
        <v>2.4552027088180099</v>
      </c>
      <c r="AU384" s="5">
        <v>22.898385175048169</v>
      </c>
      <c r="AV384" s="5">
        <v>32.707599707866663</v>
      </c>
      <c r="AW384" s="5">
        <v>1.8340364234870534</v>
      </c>
      <c r="AX384" s="5">
        <v>2.6197012903088166</v>
      </c>
      <c r="AY384" t="s">
        <v>64</v>
      </c>
      <c r="AZ384" t="s">
        <v>7</v>
      </c>
      <c r="BA384" s="23">
        <f t="shared" si="5"/>
        <v>4.6063612035701466E-2</v>
      </c>
      <c r="BB384" s="23">
        <f>IF(AND(ISNUMBER(H384),Metadata!$H$5&gt;Metadata!$G$5),MAX(Metadata!$G$5-H384,0,H384-Metadata!$H$5)/(Metadata!$H$5-Metadata!$G$5),"Missing input")</f>
        <v>4.6063612035701466E-2</v>
      </c>
      <c r="BC384" s="23">
        <f>IF(AND(ISNUMBER(L384),Metadata!$H$8&gt;Metadata!$G$8),MAX(Metadata!$G$8-L384,0,L384-Metadata!$H$8)/(Metadata!$H$8-Metadata!$G$8),"Missing input")</f>
        <v>0</v>
      </c>
    </row>
    <row r="385" spans="1:55" x14ac:dyDescent="0.2">
      <c r="A385" t="s">
        <v>470</v>
      </c>
      <c r="B385" t="s">
        <v>465</v>
      </c>
      <c r="C385" t="s">
        <v>466</v>
      </c>
      <c r="D385" t="s">
        <v>55</v>
      </c>
      <c r="E385" t="s">
        <v>467</v>
      </c>
      <c r="F385">
        <v>4</v>
      </c>
      <c r="G385">
        <v>40.065365059576777</v>
      </c>
      <c r="H385">
        <v>25.23064360495534</v>
      </c>
      <c r="I385">
        <v>1.0900000000000001</v>
      </c>
      <c r="J385">
        <v>0.6</v>
      </c>
      <c r="K385">
        <v>0.54</v>
      </c>
      <c r="L385">
        <v>0.25</v>
      </c>
      <c r="N385">
        <v>125</v>
      </c>
      <c r="O385">
        <v>10</v>
      </c>
      <c r="P385">
        <v>8</v>
      </c>
      <c r="Q385">
        <v>0.53616514621265798</v>
      </c>
      <c r="R385">
        <v>2986346.165161836</v>
      </c>
      <c r="S385">
        <v>-4.9074364080048264E-3</v>
      </c>
      <c r="T385">
        <v>1298.4494118763789</v>
      </c>
      <c r="U385">
        <v>753.12627800274458</v>
      </c>
      <c r="V385">
        <v>287.26756899919889</v>
      </c>
      <c r="W385">
        <v>2.621689182063029</v>
      </c>
      <c r="X385" t="s">
        <v>57</v>
      </c>
      <c r="Y385">
        <v>8</v>
      </c>
      <c r="Z385">
        <v>742.68499999999995</v>
      </c>
      <c r="AA385">
        <v>95.163399999999996</v>
      </c>
      <c r="AB385">
        <v>37.809100000000001</v>
      </c>
      <c r="AC385">
        <v>14.446809929139301</v>
      </c>
      <c r="AD385">
        <v>46.698916572040709</v>
      </c>
      <c r="AE385">
        <v>46.698916572040709</v>
      </c>
      <c r="AF385" t="s">
        <v>58</v>
      </c>
      <c r="AG385" t="b">
        <v>1</v>
      </c>
      <c r="AH385">
        <v>3.2324725528401062</v>
      </c>
      <c r="AI385">
        <v>743.43</v>
      </c>
      <c r="AJ385">
        <v>91.310100000000006</v>
      </c>
      <c r="AK385">
        <v>39.358900000000013</v>
      </c>
      <c r="AL385">
        <v>14.27135079045703</v>
      </c>
      <c r="AM385">
        <v>46.783943759477722</v>
      </c>
      <c r="AN385">
        <v>46.783943759477722</v>
      </c>
      <c r="AO385" t="s">
        <v>58</v>
      </c>
      <c r="AP385" t="b">
        <v>1</v>
      </c>
      <c r="AQ385">
        <v>3.2781720838059152</v>
      </c>
      <c r="AR385">
        <v>743.43</v>
      </c>
      <c r="AS385">
        <v>46.783943759477722</v>
      </c>
      <c r="AT385">
        <v>3.2781720838059152</v>
      </c>
      <c r="AU385" s="5">
        <v>34.947605988329862</v>
      </c>
      <c r="AV385" s="5">
        <v>49.918467991362725</v>
      </c>
      <c r="AW385" s="5">
        <v>2.4487945466030188</v>
      </c>
      <c r="AX385" s="5">
        <v>3.4978096134209111</v>
      </c>
      <c r="AY385" t="s">
        <v>59</v>
      </c>
      <c r="AZ385" t="s">
        <v>60</v>
      </c>
      <c r="BA385" s="23">
        <f t="shared" si="5"/>
        <v>0</v>
      </c>
      <c r="BB385" s="23">
        <f>IF(AND(ISNUMBER(H385),Metadata!$H$5&gt;Metadata!$G$5),MAX(Metadata!$G$5-H385,0,H385-Metadata!$H$5)/(Metadata!$H$5-Metadata!$G$5),"Missing input")</f>
        <v>0</v>
      </c>
      <c r="BC385" s="23">
        <f>IF(AND(ISNUMBER(L385),Metadata!$H$8&gt;Metadata!$G$8),MAX(Metadata!$G$8-L385,0,L385-Metadata!$H$8)/(Metadata!$H$8-Metadata!$G$8),"Missing input")</f>
        <v>0</v>
      </c>
    </row>
    <row r="386" spans="1:55" x14ac:dyDescent="0.2">
      <c r="A386" t="s">
        <v>471</v>
      </c>
      <c r="B386" t="s">
        <v>465</v>
      </c>
      <c r="C386" t="s">
        <v>466</v>
      </c>
      <c r="D386" t="s">
        <v>55</v>
      </c>
      <c r="E386" t="s">
        <v>467</v>
      </c>
      <c r="F386">
        <v>5</v>
      </c>
      <c r="G386">
        <v>44.691650234033148</v>
      </c>
      <c r="H386">
        <v>35.278860063057749</v>
      </c>
      <c r="I386">
        <v>1.0900000000000001</v>
      </c>
      <c r="J386">
        <v>0.6</v>
      </c>
      <c r="K386">
        <v>0.54</v>
      </c>
      <c r="L386">
        <v>0.25</v>
      </c>
      <c r="N386">
        <v>125</v>
      </c>
      <c r="O386">
        <v>10</v>
      </c>
      <c r="P386">
        <v>8</v>
      </c>
      <c r="Q386">
        <v>0.53616514621265798</v>
      </c>
      <c r="R386">
        <v>4683732.748780732</v>
      </c>
      <c r="S386">
        <v>-5.4303613653542476E-3</v>
      </c>
      <c r="T386">
        <v>2038.056112809669</v>
      </c>
      <c r="U386">
        <v>770.83560231362162</v>
      </c>
      <c r="V386">
        <v>450.89737009063481</v>
      </c>
      <c r="W386">
        <v>1.7095588784620239</v>
      </c>
      <c r="X386" t="s">
        <v>57</v>
      </c>
      <c r="Y386">
        <v>8</v>
      </c>
      <c r="Z386">
        <v>877.01800000000003</v>
      </c>
      <c r="AA386">
        <v>95.163399999999996</v>
      </c>
      <c r="AB386">
        <v>32.016500000000001</v>
      </c>
      <c r="AC386">
        <v>13.69243684279362</v>
      </c>
      <c r="AD386">
        <v>34.901346288605538</v>
      </c>
      <c r="AE386">
        <v>34.901346288605538</v>
      </c>
      <c r="AF386" t="s">
        <v>58</v>
      </c>
      <c r="AG386" t="b">
        <v>1</v>
      </c>
      <c r="AH386">
        <v>2.5489506863764899</v>
      </c>
      <c r="AI386">
        <v>880.98500000000001</v>
      </c>
      <c r="AJ386">
        <v>91.310100000000006</v>
      </c>
      <c r="AK386">
        <v>32.289299999999997</v>
      </c>
      <c r="AL386">
        <v>13.222442726877979</v>
      </c>
      <c r="AM386">
        <v>34.482732189419131</v>
      </c>
      <c r="AN386">
        <v>34.482732189419131</v>
      </c>
      <c r="AO386" t="s">
        <v>58</v>
      </c>
      <c r="AP386" t="b">
        <v>1</v>
      </c>
      <c r="AQ386">
        <v>2.607894237221704</v>
      </c>
      <c r="AR386">
        <v>880.98500000000001</v>
      </c>
      <c r="AS386">
        <v>34.901346288605538</v>
      </c>
      <c r="AT386">
        <v>2.607894237221704</v>
      </c>
      <c r="AU386" s="5">
        <v>26.071305677588338</v>
      </c>
      <c r="AV386" s="5">
        <v>37.239736489942111</v>
      </c>
      <c r="AW386" s="5">
        <v>1.9480969952046128</v>
      </c>
      <c r="AX386" s="5">
        <v>2.7826231511155579</v>
      </c>
      <c r="AY386" t="s">
        <v>59</v>
      </c>
      <c r="AZ386" t="s">
        <v>60</v>
      </c>
      <c r="BA386" s="23">
        <f t="shared" ref="BA386:BA449" si="6">IF(COUNT(BB386:BC386)=2,MAX(BB386:BC386),"Missing input")</f>
        <v>0</v>
      </c>
      <c r="BB386" s="23">
        <f>IF(AND(ISNUMBER(H386),Metadata!$H$5&gt;Metadata!$G$5),MAX(Metadata!$G$5-H386,0,H386-Metadata!$H$5)/(Metadata!$H$5-Metadata!$G$5),"Missing input")</f>
        <v>0</v>
      </c>
      <c r="BC386" s="23">
        <f>IF(AND(ISNUMBER(L386),Metadata!$H$8&gt;Metadata!$G$8),MAX(Metadata!$G$8-L386,0,L386-Metadata!$H$8)/(Metadata!$H$8-Metadata!$G$8),"Missing input")</f>
        <v>0</v>
      </c>
    </row>
    <row r="387" spans="1:55" x14ac:dyDescent="0.2">
      <c r="A387" t="s">
        <v>472</v>
      </c>
      <c r="B387" t="s">
        <v>465</v>
      </c>
      <c r="C387" t="s">
        <v>466</v>
      </c>
      <c r="D387" t="s">
        <v>55</v>
      </c>
      <c r="E387" t="s">
        <v>467</v>
      </c>
      <c r="F387">
        <v>6</v>
      </c>
      <c r="G387">
        <v>33.086500490231572</v>
      </c>
      <c r="H387">
        <v>19.79580616436397</v>
      </c>
      <c r="I387">
        <v>1.0900000000000001</v>
      </c>
      <c r="J387">
        <v>0.6</v>
      </c>
      <c r="K387">
        <v>0.54</v>
      </c>
      <c r="L387">
        <v>0.25</v>
      </c>
      <c r="N387">
        <v>125</v>
      </c>
      <c r="O387">
        <v>10</v>
      </c>
      <c r="P387">
        <v>8</v>
      </c>
      <c r="Q387">
        <v>0.53616514621265798</v>
      </c>
      <c r="R387">
        <v>1918643.176085273</v>
      </c>
      <c r="S387">
        <v>-4.3592087433774141E-3</v>
      </c>
      <c r="T387">
        <v>889.81278914985796</v>
      </c>
      <c r="U387">
        <v>724.34809556380162</v>
      </c>
      <c r="V387">
        <v>196.8612365375792</v>
      </c>
      <c r="W387">
        <v>3.6794856534670268</v>
      </c>
      <c r="X387" t="s">
        <v>57</v>
      </c>
      <c r="Y387">
        <v>8</v>
      </c>
      <c r="Z387">
        <v>601.27499999999998</v>
      </c>
      <c r="AA387">
        <v>95.163399999999996</v>
      </c>
      <c r="AB387">
        <v>44.611400000000003</v>
      </c>
      <c r="AC387">
        <v>15.00443069716775</v>
      </c>
      <c r="AD387">
        <v>58.96224631418702</v>
      </c>
      <c r="AE387">
        <v>58.96224631418702</v>
      </c>
      <c r="AF387" t="s">
        <v>58</v>
      </c>
      <c r="AG387" t="b">
        <v>1</v>
      </c>
      <c r="AH387">
        <v>3.9296556799930289</v>
      </c>
      <c r="AI387">
        <v>596.66</v>
      </c>
      <c r="AJ387">
        <v>91.310100000000006</v>
      </c>
      <c r="AK387">
        <v>39.358900000000013</v>
      </c>
      <c r="AL387">
        <v>14.52088893499308</v>
      </c>
      <c r="AM387">
        <v>58.441634653465343</v>
      </c>
      <c r="AN387">
        <v>58.441634653465343</v>
      </c>
      <c r="AO387" t="s">
        <v>58</v>
      </c>
      <c r="AP387" t="b">
        <v>1</v>
      </c>
      <c r="AQ387">
        <v>4.0246595725024852</v>
      </c>
      <c r="AR387">
        <v>601.27499999999998</v>
      </c>
      <c r="AS387">
        <v>58.96224631418702</v>
      </c>
      <c r="AT387">
        <v>4.0246595725024852</v>
      </c>
      <c r="AU387" s="5">
        <v>44.044797996697703</v>
      </c>
      <c r="AV387" s="5">
        <v>62.912716817237545</v>
      </c>
      <c r="AW387" s="5">
        <v>3.0064207006593566</v>
      </c>
      <c r="AX387" s="5">
        <v>4.2943117638601516</v>
      </c>
      <c r="AY387" t="s">
        <v>59</v>
      </c>
      <c r="AZ387" t="s">
        <v>60</v>
      </c>
      <c r="BA387" s="23">
        <f t="shared" si="6"/>
        <v>0</v>
      </c>
      <c r="BB387" s="23">
        <f>IF(AND(ISNUMBER(H387),Metadata!$H$5&gt;Metadata!$G$5),MAX(Metadata!$G$5-H387,0,H387-Metadata!$H$5)/(Metadata!$H$5-Metadata!$G$5),"Missing input")</f>
        <v>0</v>
      </c>
      <c r="BC387" s="23">
        <f>IF(AND(ISNUMBER(L387),Metadata!$H$8&gt;Metadata!$G$8),MAX(Metadata!$G$8-L387,0,L387-Metadata!$H$8)/(Metadata!$H$8-Metadata!$G$8),"Missing input")</f>
        <v>0</v>
      </c>
    </row>
    <row r="388" spans="1:55" x14ac:dyDescent="0.2">
      <c r="A388" t="s">
        <v>473</v>
      </c>
      <c r="B388" t="s">
        <v>465</v>
      </c>
      <c r="C388" t="s">
        <v>466</v>
      </c>
      <c r="D388" t="s">
        <v>55</v>
      </c>
      <c r="E388" t="s">
        <v>467</v>
      </c>
      <c r="F388">
        <v>7</v>
      </c>
      <c r="G388">
        <v>42.943727860216583</v>
      </c>
      <c r="H388">
        <v>31.604415760045629</v>
      </c>
      <c r="I388">
        <v>1.0900000000000001</v>
      </c>
      <c r="J388">
        <v>0.6</v>
      </c>
      <c r="K388">
        <v>0.54</v>
      </c>
      <c r="L388">
        <v>0.25</v>
      </c>
      <c r="N388">
        <v>125</v>
      </c>
      <c r="O388">
        <v>10</v>
      </c>
      <c r="P388">
        <v>8</v>
      </c>
      <c r="Q388">
        <v>0.53616514621265798</v>
      </c>
      <c r="R388">
        <v>4025355.613741619</v>
      </c>
      <c r="S388">
        <v>-5.311460817660262E-3</v>
      </c>
      <c r="T388">
        <v>1742.847965264486</v>
      </c>
      <c r="U388">
        <v>764.25751687900618</v>
      </c>
      <c r="V388">
        <v>385.58583302311649</v>
      </c>
      <c r="W388">
        <v>1.9820684564237809</v>
      </c>
      <c r="X388" t="s">
        <v>57</v>
      </c>
      <c r="Y388">
        <v>8</v>
      </c>
      <c r="Z388">
        <v>834.29899999999998</v>
      </c>
      <c r="AA388">
        <v>95.163399999999996</v>
      </c>
      <c r="AB388">
        <v>34.786900000000003</v>
      </c>
      <c r="AC388">
        <v>14.073011161365629</v>
      </c>
      <c r="AD388">
        <v>37.912313310977858</v>
      </c>
      <c r="AE388">
        <v>37.912313310977858</v>
      </c>
      <c r="AF388" t="s">
        <v>58</v>
      </c>
      <c r="AG388" t="b">
        <v>1</v>
      </c>
      <c r="AH388">
        <v>2.6939730862331599</v>
      </c>
      <c r="AI388">
        <v>829.22699999999998</v>
      </c>
      <c r="AJ388">
        <v>91.310100000000006</v>
      </c>
      <c r="AK388">
        <v>34.388800000000003</v>
      </c>
      <c r="AL388">
        <v>13.41656934720908</v>
      </c>
      <c r="AM388">
        <v>38.682391449626579</v>
      </c>
      <c r="AN388">
        <v>38.682391449626579</v>
      </c>
      <c r="AO388" t="s">
        <v>58</v>
      </c>
      <c r="AP388" t="b">
        <v>1</v>
      </c>
      <c r="AQ388">
        <v>2.8831805246602249</v>
      </c>
      <c r="AR388">
        <v>834.29899999999998</v>
      </c>
      <c r="AS388">
        <v>38.682391449626579</v>
      </c>
      <c r="AT388">
        <v>2.8831805246602249</v>
      </c>
      <c r="AU388" s="5">
        <v>28.895746412871055</v>
      </c>
      <c r="AV388" s="5">
        <v>41.274111676751559</v>
      </c>
      <c r="AW388" s="5">
        <v>2.153735851921188</v>
      </c>
      <c r="AX388" s="5">
        <v>3.0763536198124597</v>
      </c>
      <c r="AY388" t="s">
        <v>59</v>
      </c>
      <c r="AZ388" t="s">
        <v>60</v>
      </c>
      <c r="BA388" s="23">
        <f t="shared" si="6"/>
        <v>0</v>
      </c>
      <c r="BB388" s="23">
        <f>IF(AND(ISNUMBER(H388),Metadata!$H$5&gt;Metadata!$G$5),MAX(Metadata!$G$5-H388,0,H388-Metadata!$H$5)/(Metadata!$H$5-Metadata!$G$5),"Missing input")</f>
        <v>0</v>
      </c>
      <c r="BC388" s="23">
        <f>IF(AND(ISNUMBER(L388),Metadata!$H$8&gt;Metadata!$G$8),MAX(Metadata!$G$8-L388,0,L388-Metadata!$H$8)/(Metadata!$H$8-Metadata!$G$8),"Missing input")</f>
        <v>0</v>
      </c>
    </row>
    <row r="389" spans="1:55" x14ac:dyDescent="0.2">
      <c r="A389" t="s">
        <v>474</v>
      </c>
      <c r="B389" t="s">
        <v>465</v>
      </c>
      <c r="C389" t="s">
        <v>466</v>
      </c>
      <c r="D389" t="s">
        <v>55</v>
      </c>
      <c r="E389" t="s">
        <v>467</v>
      </c>
      <c r="F389">
        <v>8</v>
      </c>
      <c r="G389">
        <v>29.155454969686971</v>
      </c>
      <c r="H389">
        <v>7.3398505058277053</v>
      </c>
      <c r="I389">
        <v>1.0900000000000001</v>
      </c>
      <c r="J389">
        <v>0.6</v>
      </c>
      <c r="K389">
        <v>0.54</v>
      </c>
      <c r="L389">
        <v>0.25</v>
      </c>
      <c r="N389">
        <v>125</v>
      </c>
      <c r="O389">
        <v>10</v>
      </c>
      <c r="P389">
        <v>8</v>
      </c>
      <c r="Q389">
        <v>0.53616514621265798</v>
      </c>
      <c r="R389">
        <v>595711.36772068124</v>
      </c>
      <c r="S389">
        <v>-2.7048973451078841E-3</v>
      </c>
      <c r="T389">
        <v>455.04871091629241</v>
      </c>
      <c r="U389">
        <v>706.7858992589853</v>
      </c>
      <c r="V389">
        <v>100.6744935655514</v>
      </c>
      <c r="W389">
        <v>7.0205061304706859</v>
      </c>
      <c r="X389" t="s">
        <v>57</v>
      </c>
      <c r="Y389">
        <v>8</v>
      </c>
      <c r="Z389">
        <v>400.178</v>
      </c>
      <c r="AA389">
        <v>94.707099999999997</v>
      </c>
      <c r="AB389">
        <v>37.809100000000001</v>
      </c>
      <c r="AC389">
        <v>15.57699508611956</v>
      </c>
      <c r="AE389">
        <v>94.707099999999997</v>
      </c>
      <c r="AF389" t="s">
        <v>62</v>
      </c>
      <c r="AG389" t="b">
        <v>0</v>
      </c>
      <c r="AH389">
        <v>6.0799338689136633</v>
      </c>
      <c r="AI389">
        <v>396.68900000000002</v>
      </c>
      <c r="AJ389">
        <v>91.160899999999998</v>
      </c>
      <c r="AK389">
        <v>32.289299999999997</v>
      </c>
      <c r="AL389">
        <v>15.01820023520188</v>
      </c>
      <c r="AM389">
        <v>39.401613085709542</v>
      </c>
      <c r="AN389">
        <v>39.401613085709542</v>
      </c>
      <c r="AO389" t="s">
        <v>58</v>
      </c>
      <c r="AP389" t="b">
        <v>1</v>
      </c>
      <c r="AQ389">
        <v>2.623590874314901</v>
      </c>
      <c r="AR389">
        <v>400.178</v>
      </c>
      <c r="AS389">
        <v>94.707099999999997</v>
      </c>
      <c r="AT389">
        <v>6.0799338689136633</v>
      </c>
      <c r="AU389" s="5">
        <v>70.746203699999995</v>
      </c>
      <c r="AV389" s="5">
        <v>101.05247569999999</v>
      </c>
      <c r="AW389" s="5">
        <v>4.5417106000785061</v>
      </c>
      <c r="AX389" s="5">
        <v>6.4872894381308788</v>
      </c>
      <c r="AY389" t="s">
        <v>59</v>
      </c>
      <c r="AZ389" t="s">
        <v>60</v>
      </c>
      <c r="BA389" s="23">
        <f t="shared" si="6"/>
        <v>0</v>
      </c>
      <c r="BB389" s="23">
        <f>IF(AND(ISNUMBER(H389),Metadata!$H$5&gt;Metadata!$G$5),MAX(Metadata!$G$5-H389,0,H389-Metadata!$H$5)/(Metadata!$H$5-Metadata!$G$5),"Missing input")</f>
        <v>0</v>
      </c>
      <c r="BC389" s="23">
        <f>IF(AND(ISNUMBER(L389),Metadata!$H$8&gt;Metadata!$G$8),MAX(Metadata!$G$8-L389,0,L389-Metadata!$H$8)/(Metadata!$H$8-Metadata!$G$8),"Missing input")</f>
        <v>0</v>
      </c>
    </row>
    <row r="390" spans="1:55" x14ac:dyDescent="0.2">
      <c r="A390" t="s">
        <v>475</v>
      </c>
      <c r="B390" t="s">
        <v>465</v>
      </c>
      <c r="C390" t="s">
        <v>466</v>
      </c>
      <c r="D390" t="s">
        <v>55</v>
      </c>
      <c r="E390" t="s">
        <v>467</v>
      </c>
      <c r="F390">
        <v>9</v>
      </c>
      <c r="G390">
        <v>59.748609235827082</v>
      </c>
      <c r="H390">
        <v>37.783512331141722</v>
      </c>
      <c r="I390">
        <v>1.0900000000000001</v>
      </c>
      <c r="J390">
        <v>0.6</v>
      </c>
      <c r="K390">
        <v>0.54</v>
      </c>
      <c r="L390">
        <v>0.25</v>
      </c>
      <c r="N390">
        <v>125</v>
      </c>
      <c r="O390">
        <v>10</v>
      </c>
      <c r="P390">
        <v>8</v>
      </c>
      <c r="Q390">
        <v>0.53616514621265798</v>
      </c>
      <c r="R390">
        <v>6726258.2664913209</v>
      </c>
      <c r="S390">
        <v>-5.4688348228140544E-3</v>
      </c>
      <c r="T390">
        <v>2935.9608595443779</v>
      </c>
      <c r="U390">
        <v>822.87545002106197</v>
      </c>
      <c r="V390">
        <v>649.54886273105706</v>
      </c>
      <c r="W390">
        <v>1.266841491433371</v>
      </c>
      <c r="X390" t="s">
        <v>57</v>
      </c>
      <c r="Y390">
        <v>8</v>
      </c>
      <c r="Z390">
        <v>1121.9000000000001</v>
      </c>
      <c r="AA390">
        <v>95.163399999999996</v>
      </c>
      <c r="AB390">
        <v>30.757200000000001</v>
      </c>
      <c r="AC390">
        <v>13.991058073322931</v>
      </c>
      <c r="AD390">
        <v>32.599105567182512</v>
      </c>
      <c r="AE390">
        <v>32.599105567182512</v>
      </c>
      <c r="AF390" t="s">
        <v>58</v>
      </c>
      <c r="AG390" t="b">
        <v>1</v>
      </c>
      <c r="AH390">
        <v>2.3299957298683469</v>
      </c>
      <c r="AI390">
        <v>1127.5</v>
      </c>
      <c r="AJ390">
        <v>91.310100000000006</v>
      </c>
      <c r="AK390">
        <v>31.431899999999999</v>
      </c>
      <c r="AL390">
        <v>13.32579910543131</v>
      </c>
      <c r="AM390">
        <v>32.292117249692708</v>
      </c>
      <c r="AN390">
        <v>32.292117249692708</v>
      </c>
      <c r="AO390" t="s">
        <v>58</v>
      </c>
      <c r="AP390" t="b">
        <v>1</v>
      </c>
      <c r="AQ390">
        <v>2.4232781084423771</v>
      </c>
      <c r="AR390">
        <v>1127.5</v>
      </c>
      <c r="AS390">
        <v>32.599105567182512</v>
      </c>
      <c r="AT390">
        <v>2.4232781084423771</v>
      </c>
      <c r="AU390" s="5">
        <v>24.351531858685338</v>
      </c>
      <c r="AV390" s="5">
        <v>34.783245640183736</v>
      </c>
      <c r="AW390" s="5">
        <v>1.8101887470064557</v>
      </c>
      <c r="AX390" s="5">
        <v>2.5856377417080161</v>
      </c>
      <c r="AY390" t="s">
        <v>59</v>
      </c>
      <c r="AZ390" t="s">
        <v>60</v>
      </c>
      <c r="BA390" s="23">
        <f t="shared" si="6"/>
        <v>0</v>
      </c>
      <c r="BB390" s="23">
        <f>IF(AND(ISNUMBER(H390),Metadata!$H$5&gt;Metadata!$G$5),MAX(Metadata!$G$5-H390,0,H390-Metadata!$H$5)/(Metadata!$H$5-Metadata!$G$5),"Missing input")</f>
        <v>0</v>
      </c>
      <c r="BC390" s="23">
        <f>IF(AND(ISNUMBER(L390),Metadata!$H$8&gt;Metadata!$G$8),MAX(Metadata!$G$8-L390,0,L390-Metadata!$H$8)/(Metadata!$H$8-Metadata!$G$8),"Missing input")</f>
        <v>0</v>
      </c>
    </row>
    <row r="391" spans="1:55" x14ac:dyDescent="0.2">
      <c r="A391" t="s">
        <v>476</v>
      </c>
      <c r="B391" t="s">
        <v>465</v>
      </c>
      <c r="C391" t="s">
        <v>466</v>
      </c>
      <c r="D391" t="s">
        <v>55</v>
      </c>
      <c r="E391" t="s">
        <v>467</v>
      </c>
      <c r="F391">
        <v>10</v>
      </c>
      <c r="G391">
        <v>34.746337553007109</v>
      </c>
      <c r="H391">
        <v>23.7414613202046</v>
      </c>
      <c r="I391">
        <v>1.0900000000000001</v>
      </c>
      <c r="J391">
        <v>0.6</v>
      </c>
      <c r="K391">
        <v>0.54</v>
      </c>
      <c r="L391">
        <v>0.25</v>
      </c>
      <c r="N391">
        <v>125</v>
      </c>
      <c r="O391">
        <v>10</v>
      </c>
      <c r="P391">
        <v>8</v>
      </c>
      <c r="Q391">
        <v>0.53616514621265798</v>
      </c>
      <c r="R391">
        <v>2428507.8121004719</v>
      </c>
      <c r="S391">
        <v>-4.7750923427921678E-3</v>
      </c>
      <c r="T391">
        <v>1086.211336238212</v>
      </c>
      <c r="U391">
        <v>731.44834288856589</v>
      </c>
      <c r="V391">
        <v>240.312242530578</v>
      </c>
      <c r="W391">
        <v>3.0437414889318188</v>
      </c>
      <c r="X391" t="s">
        <v>57</v>
      </c>
      <c r="Y391">
        <v>8</v>
      </c>
      <c r="Z391">
        <v>657.86099999999999</v>
      </c>
      <c r="AA391">
        <v>95.163399999999996</v>
      </c>
      <c r="AB391">
        <v>40.726599999999998</v>
      </c>
      <c r="AC391">
        <v>14.60585879228954</v>
      </c>
      <c r="AD391">
        <v>48.930039457215841</v>
      </c>
      <c r="AE391">
        <v>48.930039457215841</v>
      </c>
      <c r="AF391" t="s">
        <v>58</v>
      </c>
      <c r="AG391" t="b">
        <v>1</v>
      </c>
      <c r="AH391">
        <v>3.350028242300009</v>
      </c>
      <c r="AI391">
        <v>658.072</v>
      </c>
      <c r="AJ391">
        <v>91.310100000000006</v>
      </c>
      <c r="AK391">
        <v>39.358900000000013</v>
      </c>
      <c r="AL391">
        <v>14.42574845688832</v>
      </c>
      <c r="AM391">
        <v>49.29677624874887</v>
      </c>
      <c r="AN391">
        <v>49.29677624874887</v>
      </c>
      <c r="AO391" t="s">
        <v>58</v>
      </c>
      <c r="AP391" t="b">
        <v>1</v>
      </c>
      <c r="AQ391">
        <v>3.417276850214976</v>
      </c>
      <c r="AR391">
        <v>658.072</v>
      </c>
      <c r="AS391">
        <v>49.29677624874887</v>
      </c>
      <c r="AT391">
        <v>3.417276850214976</v>
      </c>
      <c r="AU391" s="5">
        <v>36.824691857815402</v>
      </c>
      <c r="AV391" s="5">
        <v>52.599660257415039</v>
      </c>
      <c r="AW391" s="5">
        <v>2.5527058071105868</v>
      </c>
      <c r="AX391" s="5">
        <v>3.6462343991793791</v>
      </c>
      <c r="AY391" t="s">
        <v>59</v>
      </c>
      <c r="AZ391" t="s">
        <v>60</v>
      </c>
      <c r="BA391" s="23">
        <f t="shared" si="6"/>
        <v>0</v>
      </c>
      <c r="BB391" s="23">
        <f>IF(AND(ISNUMBER(H391),Metadata!$H$5&gt;Metadata!$G$5),MAX(Metadata!$G$5-H391,0,H391-Metadata!$H$5)/(Metadata!$H$5-Metadata!$G$5),"Missing input")</f>
        <v>0</v>
      </c>
      <c r="BC391" s="23">
        <f>IF(AND(ISNUMBER(L391),Metadata!$H$8&gt;Metadata!$G$8),MAX(Metadata!$G$8-L391,0,L391-Metadata!$H$8)/(Metadata!$H$8-Metadata!$G$8),"Missing input")</f>
        <v>0</v>
      </c>
    </row>
    <row r="392" spans="1:55" x14ac:dyDescent="0.2">
      <c r="A392" t="s">
        <v>477</v>
      </c>
      <c r="B392" t="s">
        <v>465</v>
      </c>
      <c r="C392" t="s">
        <v>466</v>
      </c>
      <c r="D392" t="s">
        <v>55</v>
      </c>
      <c r="E392" t="s">
        <v>467</v>
      </c>
      <c r="F392">
        <v>11</v>
      </c>
      <c r="G392">
        <v>24.502161634428251</v>
      </c>
      <c r="H392">
        <v>33.048591474592847</v>
      </c>
      <c r="I392">
        <v>1.0900000000000001</v>
      </c>
      <c r="J392">
        <v>0.6</v>
      </c>
      <c r="K392">
        <v>0.54</v>
      </c>
      <c r="L392">
        <v>0.25</v>
      </c>
      <c r="N392">
        <v>125</v>
      </c>
      <c r="O392">
        <v>10</v>
      </c>
      <c r="P392">
        <v>8</v>
      </c>
      <c r="Q392">
        <v>0.53616514621265798</v>
      </c>
      <c r="R392">
        <v>2383007.1153019848</v>
      </c>
      <c r="S392">
        <v>-5.3675206196225509E-3</v>
      </c>
      <c r="T392">
        <v>1110.211326630392</v>
      </c>
      <c r="U392">
        <v>684.38581388777777</v>
      </c>
      <c r="V392">
        <v>245.6219749182284</v>
      </c>
      <c r="W392">
        <v>2.7863378841230348</v>
      </c>
      <c r="X392" t="s">
        <v>57</v>
      </c>
      <c r="Y392">
        <v>8</v>
      </c>
      <c r="Z392">
        <v>557.9</v>
      </c>
      <c r="AA392">
        <v>95.163399999999996</v>
      </c>
      <c r="AB392">
        <v>32.772100000000002</v>
      </c>
      <c r="AC392">
        <v>14.01559703056768</v>
      </c>
      <c r="AD392">
        <v>37.441975587556037</v>
      </c>
      <c r="AE392">
        <v>37.441975587556037</v>
      </c>
      <c r="AF392" t="s">
        <v>58</v>
      </c>
      <c r="AG392" t="b">
        <v>1</v>
      </c>
      <c r="AH392">
        <v>2.6714506350243941</v>
      </c>
      <c r="AI392">
        <v>559.154</v>
      </c>
      <c r="AJ392">
        <v>91.310100000000006</v>
      </c>
      <c r="AK392">
        <v>32.289299999999997</v>
      </c>
      <c r="AL392">
        <v>13.61885552169236</v>
      </c>
      <c r="AM392">
        <v>37.304331829594567</v>
      </c>
      <c r="AN392">
        <v>37.304331829594567</v>
      </c>
      <c r="AO392" t="s">
        <v>58</v>
      </c>
      <c r="AP392" t="b">
        <v>1</v>
      </c>
      <c r="AQ392">
        <v>2.739167896316657</v>
      </c>
      <c r="AR392">
        <v>559.154</v>
      </c>
      <c r="AS392">
        <v>37.441975587556037</v>
      </c>
      <c r="AT392">
        <v>2.739167896316657</v>
      </c>
      <c r="AU392" s="5">
        <v>27.969155763904361</v>
      </c>
      <c r="AV392" s="5">
        <v>39.950587951922287</v>
      </c>
      <c r="AW392" s="5">
        <v>2.0461584185485426</v>
      </c>
      <c r="AX392" s="5">
        <v>2.9226921453698731</v>
      </c>
      <c r="AY392" t="s">
        <v>59</v>
      </c>
      <c r="AZ392" t="s">
        <v>60</v>
      </c>
      <c r="BA392" s="23">
        <f t="shared" si="6"/>
        <v>0</v>
      </c>
      <c r="BB392" s="23">
        <f>IF(AND(ISNUMBER(H392),Metadata!$H$5&gt;Metadata!$G$5),MAX(Metadata!$G$5-H392,0,H392-Metadata!$H$5)/(Metadata!$H$5-Metadata!$G$5),"Missing input")</f>
        <v>0</v>
      </c>
      <c r="BC392" s="23">
        <f>IF(AND(ISNUMBER(L392),Metadata!$H$8&gt;Metadata!$G$8),MAX(Metadata!$G$8-L392,0,L392-Metadata!$H$8)/(Metadata!$H$8-Metadata!$G$8),"Missing input")</f>
        <v>0</v>
      </c>
    </row>
    <row r="393" spans="1:55" x14ac:dyDescent="0.2">
      <c r="A393" t="s">
        <v>478</v>
      </c>
      <c r="B393" t="s">
        <v>465</v>
      </c>
      <c r="C393" t="s">
        <v>466</v>
      </c>
      <c r="D393" t="s">
        <v>55</v>
      </c>
      <c r="E393" t="s">
        <v>467</v>
      </c>
      <c r="F393">
        <v>12</v>
      </c>
      <c r="G393">
        <v>56.241153781572699</v>
      </c>
      <c r="H393">
        <v>14.78764467513273</v>
      </c>
      <c r="I393">
        <v>1.0900000000000001</v>
      </c>
      <c r="J393">
        <v>0.6</v>
      </c>
      <c r="K393">
        <v>0.54</v>
      </c>
      <c r="L393">
        <v>0.25</v>
      </c>
      <c r="N393">
        <v>125</v>
      </c>
      <c r="O393">
        <v>10</v>
      </c>
      <c r="P393">
        <v>8</v>
      </c>
      <c r="Q393">
        <v>0.53616514621265798</v>
      </c>
      <c r="R393">
        <v>2448743.9197241841</v>
      </c>
      <c r="S393">
        <v>-3.723587307711696E-3</v>
      </c>
      <c r="T393">
        <v>1035.4979830027851</v>
      </c>
      <c r="U393">
        <v>811.40111588676484</v>
      </c>
      <c r="V393">
        <v>229.09247411566051</v>
      </c>
      <c r="W393">
        <v>3.5418060720629261</v>
      </c>
      <c r="X393" t="s">
        <v>57</v>
      </c>
      <c r="Y393">
        <v>8</v>
      </c>
      <c r="Z393">
        <v>757.04700000000003</v>
      </c>
      <c r="AA393">
        <v>95.163399999999996</v>
      </c>
      <c r="AB393">
        <v>51.296399999999998</v>
      </c>
      <c r="AC393">
        <v>14.165765798969071</v>
      </c>
      <c r="AD393">
        <v>77.918732845559873</v>
      </c>
      <c r="AE393">
        <v>77.918732845559873</v>
      </c>
      <c r="AF393" t="s">
        <v>58</v>
      </c>
      <c r="AG393" t="b">
        <v>1</v>
      </c>
      <c r="AH393">
        <v>5.5004956280747264</v>
      </c>
      <c r="AI393">
        <v>752.76800000000003</v>
      </c>
      <c r="AJ393">
        <v>91.310100000000006</v>
      </c>
      <c r="AK393">
        <v>51.757599999999996</v>
      </c>
      <c r="AL393">
        <v>13.796168824621921</v>
      </c>
      <c r="AM393">
        <v>78.47398057688379</v>
      </c>
      <c r="AN393">
        <v>78.47398057688379</v>
      </c>
      <c r="AO393" t="s">
        <v>58</v>
      </c>
      <c r="AP393" t="b">
        <v>1</v>
      </c>
      <c r="AQ393">
        <v>5.6880994698203384</v>
      </c>
      <c r="AR393">
        <v>757.04700000000003</v>
      </c>
      <c r="AS393">
        <v>78.47398057688379</v>
      </c>
      <c r="AT393">
        <v>5.6880994698203384</v>
      </c>
      <c r="AU393" s="5">
        <v>58.620063490932189</v>
      </c>
      <c r="AV393" s="5">
        <v>83.731737275534996</v>
      </c>
      <c r="AW393" s="5">
        <v>4.2490103039557932</v>
      </c>
      <c r="AX393" s="5">
        <v>6.0692021342983011</v>
      </c>
      <c r="AY393" t="s">
        <v>59</v>
      </c>
      <c r="AZ393" t="s">
        <v>60</v>
      </c>
      <c r="BA393" s="23">
        <f t="shared" si="6"/>
        <v>0</v>
      </c>
      <c r="BB393" s="23">
        <f>IF(AND(ISNUMBER(H393),Metadata!$H$5&gt;Metadata!$G$5),MAX(Metadata!$G$5-H393,0,H393-Metadata!$H$5)/(Metadata!$H$5-Metadata!$G$5),"Missing input")</f>
        <v>0</v>
      </c>
      <c r="BC393" s="23">
        <f>IF(AND(ISNUMBER(L393),Metadata!$H$8&gt;Metadata!$G$8),MAX(Metadata!$G$8-L393,0,L393-Metadata!$H$8)/(Metadata!$H$8-Metadata!$G$8),"Missing input")</f>
        <v>0</v>
      </c>
    </row>
    <row r="394" spans="1:55" x14ac:dyDescent="0.2">
      <c r="A394" t="s">
        <v>479</v>
      </c>
      <c r="B394" t="s">
        <v>465</v>
      </c>
      <c r="C394" t="s">
        <v>466</v>
      </c>
      <c r="D394" t="s">
        <v>55</v>
      </c>
      <c r="E394" t="s">
        <v>467</v>
      </c>
      <c r="F394">
        <v>13</v>
      </c>
      <c r="G394">
        <v>49.119901382435643</v>
      </c>
      <c r="H394">
        <v>22.54933477691009</v>
      </c>
      <c r="I394">
        <v>1.0900000000000001</v>
      </c>
      <c r="J394">
        <v>0.6</v>
      </c>
      <c r="K394">
        <v>0.54</v>
      </c>
      <c r="L394">
        <v>0.25</v>
      </c>
      <c r="N394">
        <v>125</v>
      </c>
      <c r="O394">
        <v>10</v>
      </c>
      <c r="P394">
        <v>8</v>
      </c>
      <c r="Q394">
        <v>0.53616514621265798</v>
      </c>
      <c r="R394">
        <v>3276584.6264440492</v>
      </c>
      <c r="S394">
        <v>-4.6590732388525754E-3</v>
      </c>
      <c r="T394">
        <v>1388.147997022822</v>
      </c>
      <c r="U394">
        <v>786.94653369120795</v>
      </c>
      <c r="V394">
        <v>307.11238872186328</v>
      </c>
      <c r="W394">
        <v>2.562405694430995</v>
      </c>
      <c r="X394" t="s">
        <v>57</v>
      </c>
      <c r="Y394">
        <v>8</v>
      </c>
      <c r="Z394">
        <v>830.65599999999995</v>
      </c>
      <c r="AA394">
        <v>95.163399999999996</v>
      </c>
      <c r="AB394">
        <v>42.818399999999997</v>
      </c>
      <c r="AC394">
        <v>14.52500562083201</v>
      </c>
      <c r="AD394">
        <v>51.723086797403667</v>
      </c>
      <c r="AE394">
        <v>51.723086797403667</v>
      </c>
      <c r="AF394" t="s">
        <v>58</v>
      </c>
      <c r="AG394" t="b">
        <v>1</v>
      </c>
      <c r="AH394">
        <v>3.5609684531358492</v>
      </c>
      <c r="AI394">
        <v>826</v>
      </c>
      <c r="AJ394">
        <v>91.310100000000006</v>
      </c>
      <c r="AK394">
        <v>39.358900000000013</v>
      </c>
      <c r="AL394">
        <v>14.205450924024641</v>
      </c>
      <c r="AM394">
        <v>51.828864136298208</v>
      </c>
      <c r="AN394">
        <v>51.828864136298208</v>
      </c>
      <c r="AO394" t="s">
        <v>58</v>
      </c>
      <c r="AP394" t="b">
        <v>1</v>
      </c>
      <c r="AQ394">
        <v>3.648519460135113</v>
      </c>
      <c r="AR394">
        <v>830.65599999999995</v>
      </c>
      <c r="AS394">
        <v>51.828864136298208</v>
      </c>
      <c r="AT394">
        <v>3.648519460135113</v>
      </c>
      <c r="AU394" s="5">
        <v>38.716161509814761</v>
      </c>
      <c r="AV394" s="5">
        <v>55.301398033430182</v>
      </c>
      <c r="AW394" s="5">
        <v>2.7254440367209294</v>
      </c>
      <c r="AX394" s="5">
        <v>3.8929702639641652</v>
      </c>
      <c r="AY394" t="s">
        <v>59</v>
      </c>
      <c r="AZ394" t="s">
        <v>60</v>
      </c>
      <c r="BA394" s="23">
        <f t="shared" si="6"/>
        <v>0</v>
      </c>
      <c r="BB394" s="23">
        <f>IF(AND(ISNUMBER(H394),Metadata!$H$5&gt;Metadata!$G$5),MAX(Metadata!$G$5-H394,0,H394-Metadata!$H$5)/(Metadata!$H$5-Metadata!$G$5),"Missing input")</f>
        <v>0</v>
      </c>
      <c r="BC394" s="23">
        <f>IF(AND(ISNUMBER(L394),Metadata!$H$8&gt;Metadata!$G$8),MAX(Metadata!$G$8-L394,0,L394-Metadata!$H$8)/(Metadata!$H$8-Metadata!$G$8),"Missing input")</f>
        <v>0</v>
      </c>
    </row>
    <row r="395" spans="1:55" x14ac:dyDescent="0.2">
      <c r="A395" t="s">
        <v>480</v>
      </c>
      <c r="B395" t="s">
        <v>465</v>
      </c>
      <c r="C395" t="s">
        <v>466</v>
      </c>
      <c r="D395" t="s">
        <v>55</v>
      </c>
      <c r="E395" t="s">
        <v>467</v>
      </c>
      <c r="F395">
        <v>14</v>
      </c>
      <c r="G395">
        <v>37.958866376576751</v>
      </c>
      <c r="H395">
        <v>9.8264864335603903</v>
      </c>
      <c r="I395">
        <v>1.0900000000000001</v>
      </c>
      <c r="J395">
        <v>0.6</v>
      </c>
      <c r="K395">
        <v>0.54</v>
      </c>
      <c r="L395">
        <v>0.25</v>
      </c>
      <c r="N395">
        <v>125</v>
      </c>
      <c r="O395">
        <v>10</v>
      </c>
      <c r="P395">
        <v>8</v>
      </c>
      <c r="Q395">
        <v>0.53616514621265798</v>
      </c>
      <c r="R395">
        <v>1072728.181448289</v>
      </c>
      <c r="S395">
        <v>-3.0409347708759971E-3</v>
      </c>
      <c r="T395">
        <v>585.21460048691335</v>
      </c>
      <c r="U395">
        <v>744.72430032575369</v>
      </c>
      <c r="V395">
        <v>129.47225674489229</v>
      </c>
      <c r="W395">
        <v>5.7519990695236949</v>
      </c>
      <c r="X395" t="s">
        <v>57</v>
      </c>
      <c r="Y395">
        <v>8</v>
      </c>
      <c r="Z395">
        <v>494.661</v>
      </c>
      <c r="AA395">
        <v>95.163399999999996</v>
      </c>
      <c r="AB395">
        <v>37.809100000000001</v>
      </c>
      <c r="AC395">
        <v>14.706666677897569</v>
      </c>
      <c r="AD395">
        <v>37.948199775753238</v>
      </c>
      <c r="AE395">
        <v>37.948199775753238</v>
      </c>
      <c r="AF395" t="s">
        <v>58</v>
      </c>
      <c r="AG395" t="b">
        <v>1</v>
      </c>
      <c r="AH395">
        <v>2.5803399646491618</v>
      </c>
      <c r="AI395">
        <v>489.55799999999999</v>
      </c>
      <c r="AJ395">
        <v>91.310100000000006</v>
      </c>
      <c r="AK395">
        <v>32.289299999999997</v>
      </c>
      <c r="AL395">
        <v>14.17337761351637</v>
      </c>
      <c r="AM395">
        <v>34.550317302626581</v>
      </c>
      <c r="AN395">
        <v>34.550317302626581</v>
      </c>
      <c r="AO395" t="s">
        <v>58</v>
      </c>
      <c r="AP395" t="b">
        <v>1</v>
      </c>
      <c r="AQ395">
        <v>2.4376911590697929</v>
      </c>
      <c r="AR395">
        <v>494.661</v>
      </c>
      <c r="AS395">
        <v>37.948199775753238</v>
      </c>
      <c r="AT395">
        <v>2.5803399646491618</v>
      </c>
      <c r="AU395" s="5">
        <v>28.34730523248767</v>
      </c>
      <c r="AV395" s="5">
        <v>40.490729160728705</v>
      </c>
      <c r="AW395" s="5">
        <v>1.9275139535929238</v>
      </c>
      <c r="AX395" s="5">
        <v>2.7532227422806557</v>
      </c>
      <c r="AY395" t="s">
        <v>59</v>
      </c>
      <c r="AZ395" t="s">
        <v>60</v>
      </c>
      <c r="BA395" s="23">
        <f t="shared" si="6"/>
        <v>0</v>
      </c>
      <c r="BB395" s="23">
        <f>IF(AND(ISNUMBER(H395),Metadata!$H$5&gt;Metadata!$G$5),MAX(Metadata!$G$5-H395,0,H395-Metadata!$H$5)/(Metadata!$H$5-Metadata!$G$5),"Missing input")</f>
        <v>0</v>
      </c>
      <c r="BC395" s="23">
        <f>IF(AND(ISNUMBER(L395),Metadata!$H$8&gt;Metadata!$G$8),MAX(Metadata!$G$8-L395,0,L395-Metadata!$H$8)/(Metadata!$H$8-Metadata!$G$8),"Missing input")</f>
        <v>0</v>
      </c>
    </row>
    <row r="396" spans="1:55" x14ac:dyDescent="0.2">
      <c r="A396" t="s">
        <v>481</v>
      </c>
      <c r="B396" t="s">
        <v>465</v>
      </c>
      <c r="C396" t="s">
        <v>466</v>
      </c>
      <c r="D396" t="s">
        <v>55</v>
      </c>
      <c r="E396" t="s">
        <v>467</v>
      </c>
      <c r="F396">
        <v>15</v>
      </c>
      <c r="G396">
        <v>27.308053040943211</v>
      </c>
      <c r="H396">
        <v>5.2772178758296739</v>
      </c>
      <c r="I396">
        <v>1.0900000000000001</v>
      </c>
      <c r="J396">
        <v>0.6</v>
      </c>
      <c r="K396">
        <v>0.54</v>
      </c>
      <c r="L396">
        <v>0.25</v>
      </c>
      <c r="N396">
        <v>125</v>
      </c>
      <c r="O396">
        <v>10</v>
      </c>
      <c r="P396">
        <v>8</v>
      </c>
      <c r="Q396">
        <v>0.53616514621265798</v>
      </c>
      <c r="R396">
        <v>386052.96198531118</v>
      </c>
      <c r="S396">
        <v>-2.4387031184901729E-3</v>
      </c>
      <c r="T396">
        <v>403.19825858569931</v>
      </c>
      <c r="U396">
        <v>698.12364149884274</v>
      </c>
      <c r="V396">
        <v>89.20315455435825</v>
      </c>
      <c r="W396">
        <v>7.8262214490791697</v>
      </c>
      <c r="X396" t="s">
        <v>57</v>
      </c>
      <c r="Y396">
        <v>8</v>
      </c>
      <c r="Z396">
        <v>360.99099999999999</v>
      </c>
      <c r="AA396">
        <v>95.163399999999996</v>
      </c>
      <c r="AB396">
        <v>51.296399999999998</v>
      </c>
      <c r="AC396">
        <v>16.092387453383051</v>
      </c>
      <c r="AD396">
        <v>65.140172359724929</v>
      </c>
      <c r="AE396">
        <v>65.140172359724929</v>
      </c>
      <c r="AF396" t="s">
        <v>58</v>
      </c>
      <c r="AG396" t="b">
        <v>1</v>
      </c>
      <c r="AH396">
        <v>4.0478873969710882</v>
      </c>
      <c r="AI396">
        <v>360.005</v>
      </c>
      <c r="AJ396">
        <v>91.310100000000006</v>
      </c>
      <c r="AK396">
        <v>32.289299999999997</v>
      </c>
      <c r="AL396">
        <v>15.693544638429749</v>
      </c>
      <c r="AM396">
        <v>52.905035069508301</v>
      </c>
      <c r="AN396">
        <v>52.905035069508301</v>
      </c>
      <c r="AO396" t="s">
        <v>58</v>
      </c>
      <c r="AP396" t="b">
        <v>1</v>
      </c>
      <c r="AQ396">
        <v>3.3711335640487801</v>
      </c>
      <c r="AR396">
        <v>360.99099999999999</v>
      </c>
      <c r="AS396">
        <v>65.140172359724929</v>
      </c>
      <c r="AT396">
        <v>4.0478873969710882</v>
      </c>
      <c r="AU396" s="5">
        <v>48.659708752714522</v>
      </c>
      <c r="AV396" s="5">
        <v>69.504563907826494</v>
      </c>
      <c r="AW396" s="5">
        <v>3.0237718855374029</v>
      </c>
      <c r="AX396" s="5">
        <v>4.3190958525681511</v>
      </c>
      <c r="AY396" t="s">
        <v>59</v>
      </c>
      <c r="AZ396" t="s">
        <v>60</v>
      </c>
      <c r="BA396" s="23">
        <f t="shared" si="6"/>
        <v>0</v>
      </c>
      <c r="BB396" s="23">
        <f>IF(AND(ISNUMBER(H396),Metadata!$H$5&gt;Metadata!$G$5),MAX(Metadata!$G$5-H396,0,H396-Metadata!$H$5)/(Metadata!$H$5-Metadata!$G$5),"Missing input")</f>
        <v>0</v>
      </c>
      <c r="BC396" s="23">
        <f>IF(AND(ISNUMBER(L396),Metadata!$H$8&gt;Metadata!$G$8),MAX(Metadata!$G$8-L396,0,L396-Metadata!$H$8)/(Metadata!$H$8-Metadata!$G$8),"Missing input")</f>
        <v>0</v>
      </c>
    </row>
    <row r="397" spans="1:55" x14ac:dyDescent="0.2">
      <c r="A397" t="s">
        <v>482</v>
      </c>
      <c r="B397" t="s">
        <v>465</v>
      </c>
      <c r="C397" t="s">
        <v>466</v>
      </c>
      <c r="D397" t="s">
        <v>55</v>
      </c>
      <c r="E397" t="s">
        <v>467</v>
      </c>
      <c r="F397">
        <v>16</v>
      </c>
      <c r="G397">
        <v>31.1252119640606</v>
      </c>
      <c r="H397">
        <v>39.5069074866867</v>
      </c>
      <c r="I397">
        <v>1.0900000000000001</v>
      </c>
      <c r="J397">
        <v>0.6</v>
      </c>
      <c r="K397">
        <v>0.54</v>
      </c>
      <c r="L397">
        <v>0.25</v>
      </c>
      <c r="N397">
        <v>125</v>
      </c>
      <c r="O397">
        <v>10</v>
      </c>
      <c r="P397">
        <v>8</v>
      </c>
      <c r="Q397">
        <v>0.53616514621265798</v>
      </c>
      <c r="R397">
        <v>3642703.933702969</v>
      </c>
      <c r="S397">
        <v>-5.4770098305373972E-3</v>
      </c>
      <c r="T397">
        <v>1633.331866582959</v>
      </c>
      <c r="U397">
        <v>715.72465594585606</v>
      </c>
      <c r="V397">
        <v>361.35660765109708</v>
      </c>
      <c r="W397">
        <v>1.9806602142914571</v>
      </c>
      <c r="X397" t="s">
        <v>57</v>
      </c>
      <c r="Y397">
        <v>8</v>
      </c>
      <c r="Z397">
        <v>670.66200000000003</v>
      </c>
      <c r="AA397">
        <v>95.163399999999996</v>
      </c>
      <c r="AB397">
        <v>28.994299999999999</v>
      </c>
      <c r="AC397">
        <v>12.99294329797493</v>
      </c>
      <c r="AD397">
        <v>31.674694059489351</v>
      </c>
      <c r="AE397">
        <v>31.674694059489351</v>
      </c>
      <c r="AF397" t="s">
        <v>58</v>
      </c>
      <c r="AG397" t="b">
        <v>1</v>
      </c>
      <c r="AH397">
        <v>2.437838242888827</v>
      </c>
      <c r="AI397">
        <v>677.58199999999999</v>
      </c>
      <c r="AJ397">
        <v>91.310100000000006</v>
      </c>
      <c r="AK397">
        <v>29.9315</v>
      </c>
      <c r="AL397">
        <v>12.478672122935279</v>
      </c>
      <c r="AM397">
        <v>32.29083104215524</v>
      </c>
      <c r="AN397">
        <v>32.29083104215524</v>
      </c>
      <c r="AO397" t="s">
        <v>58</v>
      </c>
      <c r="AP397" t="b">
        <v>1</v>
      </c>
      <c r="AQ397">
        <v>2.587681663885216</v>
      </c>
      <c r="AR397">
        <v>677.58199999999999</v>
      </c>
      <c r="AS397">
        <v>32.29083104215524</v>
      </c>
      <c r="AT397">
        <v>2.587681663885216</v>
      </c>
      <c r="AU397" s="5">
        <v>24.121250788489963</v>
      </c>
      <c r="AV397" s="5">
        <v>34.454316721979637</v>
      </c>
      <c r="AW397" s="5">
        <v>1.9329982029222563</v>
      </c>
      <c r="AX397" s="5">
        <v>2.7610563353655255</v>
      </c>
      <c r="AY397" t="s">
        <v>59</v>
      </c>
      <c r="AZ397" t="s">
        <v>60</v>
      </c>
      <c r="BA397" s="23">
        <f t="shared" si="6"/>
        <v>0</v>
      </c>
      <c r="BB397" s="23">
        <f>IF(AND(ISNUMBER(H397),Metadata!$H$5&gt;Metadata!$G$5),MAX(Metadata!$G$5-H397,0,H397-Metadata!$H$5)/(Metadata!$H$5-Metadata!$G$5),"Missing input")</f>
        <v>0</v>
      </c>
      <c r="BC397" s="23">
        <f>IF(AND(ISNUMBER(L397),Metadata!$H$8&gt;Metadata!$G$8),MAX(Metadata!$G$8-L397,0,L397-Metadata!$H$8)/(Metadata!$H$8-Metadata!$G$8),"Missing input")</f>
        <v>0</v>
      </c>
    </row>
    <row r="398" spans="1:55" x14ac:dyDescent="0.2">
      <c r="A398" t="s">
        <v>483</v>
      </c>
      <c r="B398" t="s">
        <v>465</v>
      </c>
      <c r="C398" t="s">
        <v>466</v>
      </c>
      <c r="D398" t="s">
        <v>55</v>
      </c>
      <c r="E398" t="s">
        <v>467</v>
      </c>
      <c r="F398">
        <v>17</v>
      </c>
      <c r="G398">
        <v>46.390186033042063</v>
      </c>
      <c r="H398">
        <v>16.21387510983789</v>
      </c>
      <c r="I398">
        <v>1.0900000000000001</v>
      </c>
      <c r="J398">
        <v>0.6</v>
      </c>
      <c r="K398">
        <v>0.54</v>
      </c>
      <c r="L398">
        <v>0.25</v>
      </c>
      <c r="N398">
        <v>125</v>
      </c>
      <c r="O398">
        <v>10</v>
      </c>
      <c r="P398">
        <v>8</v>
      </c>
      <c r="Q398">
        <v>0.53616514621265798</v>
      </c>
      <c r="R398">
        <v>2210215.3729856689</v>
      </c>
      <c r="S398">
        <v>-3.9136248432243203E-3</v>
      </c>
      <c r="T398">
        <v>966.87496018009927</v>
      </c>
      <c r="U398">
        <v>777.10568399344538</v>
      </c>
      <c r="V398">
        <v>213.91038942037599</v>
      </c>
      <c r="W398">
        <v>3.6328561978646108</v>
      </c>
      <c r="X398" t="s">
        <v>57</v>
      </c>
      <c r="Y398">
        <v>8</v>
      </c>
      <c r="Z398">
        <v>693.01199999999994</v>
      </c>
      <c r="AA398">
        <v>95.163399999999996</v>
      </c>
      <c r="AB398">
        <v>50.613599999999998</v>
      </c>
      <c r="AC398">
        <v>14.46232519863791</v>
      </c>
      <c r="AD398">
        <v>72.627089391526283</v>
      </c>
      <c r="AE398">
        <v>72.627089391526283</v>
      </c>
      <c r="AF398" t="s">
        <v>58</v>
      </c>
      <c r="AG398" t="b">
        <v>1</v>
      </c>
      <c r="AH398">
        <v>5.0218127717364869</v>
      </c>
      <c r="AI398">
        <v>688.13599999999997</v>
      </c>
      <c r="AJ398">
        <v>91.310100000000006</v>
      </c>
      <c r="AK398">
        <v>50.383499999999998</v>
      </c>
      <c r="AL398">
        <v>14.020710348837209</v>
      </c>
      <c r="AM398">
        <v>72.384852175110836</v>
      </c>
      <c r="AN398">
        <v>72.384852175110836</v>
      </c>
      <c r="AO398" t="s">
        <v>58</v>
      </c>
      <c r="AP398" t="b">
        <v>1</v>
      </c>
      <c r="AQ398">
        <v>5.1627093331340372</v>
      </c>
      <c r="AR398">
        <v>693.01199999999994</v>
      </c>
      <c r="AS398">
        <v>72.627089391526283</v>
      </c>
      <c r="AT398">
        <v>5.1627093331340372</v>
      </c>
      <c r="AU398" s="5">
        <v>54.252435775470133</v>
      </c>
      <c r="AV398" s="5">
        <v>77.493104380758538</v>
      </c>
      <c r="AW398" s="5">
        <v>3.8565438718511258</v>
      </c>
      <c r="AX398" s="5">
        <v>5.5086108584540172</v>
      </c>
      <c r="AY398" t="s">
        <v>59</v>
      </c>
      <c r="AZ398" t="s">
        <v>60</v>
      </c>
      <c r="BA398" s="23">
        <f t="shared" si="6"/>
        <v>0</v>
      </c>
      <c r="BB398" s="23">
        <f>IF(AND(ISNUMBER(H398),Metadata!$H$5&gt;Metadata!$G$5),MAX(Metadata!$G$5-H398,0,H398-Metadata!$H$5)/(Metadata!$H$5-Metadata!$G$5),"Missing input")</f>
        <v>0</v>
      </c>
      <c r="BC398" s="23">
        <f>IF(AND(ISNUMBER(L398),Metadata!$H$8&gt;Metadata!$G$8),MAX(Metadata!$G$8-L398,0,L398-Metadata!$H$8)/(Metadata!$H$8-Metadata!$G$8),"Missing input")</f>
        <v>0</v>
      </c>
    </row>
    <row r="399" spans="1:55" x14ac:dyDescent="0.2">
      <c r="A399" t="s">
        <v>484</v>
      </c>
      <c r="B399" t="s">
        <v>465</v>
      </c>
      <c r="C399" t="s">
        <v>466</v>
      </c>
      <c r="D399" t="s">
        <v>55</v>
      </c>
      <c r="E399" t="s">
        <v>467</v>
      </c>
      <c r="F399">
        <v>18</v>
      </c>
      <c r="G399">
        <v>54.165408264435399</v>
      </c>
      <c r="H399">
        <v>18.25275816413232</v>
      </c>
      <c r="I399">
        <v>1.0900000000000001</v>
      </c>
      <c r="J399">
        <v>0.6</v>
      </c>
      <c r="K399">
        <v>0.54</v>
      </c>
      <c r="L399">
        <v>0.25</v>
      </c>
      <c r="N399">
        <v>125</v>
      </c>
      <c r="O399">
        <v>10</v>
      </c>
      <c r="P399">
        <v>8</v>
      </c>
      <c r="Q399">
        <v>0.53616514621265798</v>
      </c>
      <c r="R399">
        <v>2919725.6187367002</v>
      </c>
      <c r="S399">
        <v>-4.1738756483750746E-3</v>
      </c>
      <c r="T399">
        <v>1225.1613965856341</v>
      </c>
      <c r="U399">
        <v>804.44140245145684</v>
      </c>
      <c r="V399">
        <v>271.05340632425532</v>
      </c>
      <c r="W399">
        <v>2.9678335843863959</v>
      </c>
      <c r="X399" t="s">
        <v>57</v>
      </c>
      <c r="Y399">
        <v>8</v>
      </c>
      <c r="Z399">
        <v>813.35500000000002</v>
      </c>
      <c r="AA399">
        <v>95.163399999999996</v>
      </c>
      <c r="AB399">
        <v>44.910200000000003</v>
      </c>
      <c r="AC399">
        <v>14.291894883608149</v>
      </c>
      <c r="AD399">
        <v>65.164980594466982</v>
      </c>
      <c r="AE399">
        <v>65.164980594466982</v>
      </c>
      <c r="AF399" t="s">
        <v>58</v>
      </c>
      <c r="AG399" t="b">
        <v>1</v>
      </c>
      <c r="AH399">
        <v>4.5595759782145384</v>
      </c>
      <c r="AI399">
        <v>808.68899999999996</v>
      </c>
      <c r="AJ399">
        <v>91.310100000000006</v>
      </c>
      <c r="AK399">
        <v>48.322400000000002</v>
      </c>
      <c r="AL399">
        <v>14.01083651621826</v>
      </c>
      <c r="AM399">
        <v>64.835680629131318</v>
      </c>
      <c r="AN399">
        <v>64.835680629131318</v>
      </c>
      <c r="AO399" t="s">
        <v>58</v>
      </c>
      <c r="AP399" t="b">
        <v>1</v>
      </c>
      <c r="AQ399">
        <v>4.6275381597723104</v>
      </c>
      <c r="AR399">
        <v>813.35500000000002</v>
      </c>
      <c r="AS399">
        <v>65.164980594466982</v>
      </c>
      <c r="AT399">
        <v>4.6275381597723104</v>
      </c>
      <c r="AU399" s="5">
        <v>48.678240504066835</v>
      </c>
      <c r="AV399" s="5">
        <v>69.531034294296262</v>
      </c>
      <c r="AW399" s="5">
        <v>3.4567710053499159</v>
      </c>
      <c r="AX399" s="5">
        <v>4.937583216477055</v>
      </c>
      <c r="AY399" t="s">
        <v>59</v>
      </c>
      <c r="AZ399" t="s">
        <v>60</v>
      </c>
      <c r="BA399" s="23">
        <f t="shared" si="6"/>
        <v>0</v>
      </c>
      <c r="BB399" s="23">
        <f>IF(AND(ISNUMBER(H399),Metadata!$H$5&gt;Metadata!$G$5),MAX(Metadata!$G$5-H399,0,H399-Metadata!$H$5)/(Metadata!$H$5-Metadata!$G$5),"Missing input")</f>
        <v>0</v>
      </c>
      <c r="BC399" s="23">
        <f>IF(AND(ISNUMBER(L399),Metadata!$H$8&gt;Metadata!$G$8),MAX(Metadata!$G$8-L399,0,L399-Metadata!$H$8)/(Metadata!$H$8-Metadata!$G$8),"Missing input")</f>
        <v>0</v>
      </c>
    </row>
    <row r="400" spans="1:55" x14ac:dyDescent="0.2">
      <c r="A400" t="s">
        <v>485</v>
      </c>
      <c r="B400" t="s">
        <v>465</v>
      </c>
      <c r="C400" t="s">
        <v>466</v>
      </c>
      <c r="D400" t="s">
        <v>55</v>
      </c>
      <c r="E400" t="s">
        <v>467</v>
      </c>
      <c r="F400">
        <v>19</v>
      </c>
      <c r="G400">
        <v>21.707483118551171</v>
      </c>
      <c r="H400">
        <v>43.497365085878002</v>
      </c>
      <c r="I400">
        <v>1.0900000000000001</v>
      </c>
      <c r="J400">
        <v>0.6</v>
      </c>
      <c r="K400">
        <v>0.54</v>
      </c>
      <c r="L400">
        <v>0.25</v>
      </c>
      <c r="N400">
        <v>125</v>
      </c>
      <c r="O400">
        <v>10</v>
      </c>
      <c r="P400">
        <v>8</v>
      </c>
      <c r="Q400">
        <v>0.53616514621265798</v>
      </c>
      <c r="R400">
        <v>2786376.2799094608</v>
      </c>
      <c r="S400">
        <v>-5.4438445332530873E-3</v>
      </c>
      <c r="T400">
        <v>1303.4326267552481</v>
      </c>
      <c r="U400">
        <v>669.89609780516332</v>
      </c>
      <c r="V400">
        <v>288.37005016709043</v>
      </c>
      <c r="W400">
        <v>2.323043247441976</v>
      </c>
      <c r="X400" t="s">
        <v>57</v>
      </c>
      <c r="Y400">
        <v>8</v>
      </c>
      <c r="Z400">
        <v>520.87900000000002</v>
      </c>
      <c r="AA400">
        <v>95.163399999999996</v>
      </c>
      <c r="AB400">
        <v>25.7987</v>
      </c>
      <c r="AC400">
        <v>12.68311563</v>
      </c>
      <c r="AD400">
        <v>29.740023163188571</v>
      </c>
      <c r="AE400">
        <v>29.740023163188571</v>
      </c>
      <c r="AF400" t="s">
        <v>58</v>
      </c>
      <c r="AG400" t="b">
        <v>1</v>
      </c>
      <c r="AH400">
        <v>2.3448515357569568</v>
      </c>
      <c r="AI400">
        <v>528.04899999999998</v>
      </c>
      <c r="AJ400">
        <v>91.310100000000006</v>
      </c>
      <c r="AK400">
        <v>28.216699999999999</v>
      </c>
      <c r="AL400">
        <v>12.09135700544773</v>
      </c>
      <c r="AM400">
        <v>30.98633115367171</v>
      </c>
      <c r="AN400">
        <v>30.98633115367171</v>
      </c>
      <c r="AO400" t="s">
        <v>58</v>
      </c>
      <c r="AP400" t="b">
        <v>1</v>
      </c>
      <c r="AQ400">
        <v>2.5626843322640211</v>
      </c>
      <c r="AR400">
        <v>528.04899999999998</v>
      </c>
      <c r="AS400">
        <v>30.98633115367171</v>
      </c>
      <c r="AT400">
        <v>2.5626843322640211</v>
      </c>
      <c r="AU400" s="5">
        <v>23.146789371792767</v>
      </c>
      <c r="AV400" s="5">
        <v>33.062415340967711</v>
      </c>
      <c r="AW400" s="5">
        <v>1.9143251962012238</v>
      </c>
      <c r="AX400" s="5">
        <v>2.7343841825257105</v>
      </c>
      <c r="AY400" t="s">
        <v>64</v>
      </c>
      <c r="AZ400" t="s">
        <v>7</v>
      </c>
      <c r="BA400" s="23">
        <f t="shared" si="6"/>
        <v>9.4596678167087334E-2</v>
      </c>
      <c r="BB400" s="23">
        <f>IF(AND(ISNUMBER(H400),Metadata!$H$5&gt;Metadata!$G$5),MAX(Metadata!$G$5-H400,0,H400-Metadata!$H$5)/(Metadata!$H$5-Metadata!$G$5),"Missing input")</f>
        <v>9.4596678167087334E-2</v>
      </c>
      <c r="BC400" s="23">
        <f>IF(AND(ISNUMBER(L400),Metadata!$H$8&gt;Metadata!$G$8),MAX(Metadata!$G$8-L400,0,L400-Metadata!$H$8)/(Metadata!$H$8-Metadata!$G$8),"Missing input")</f>
        <v>0</v>
      </c>
    </row>
    <row r="401" spans="1:55" x14ac:dyDescent="0.2">
      <c r="A401" t="s">
        <v>486</v>
      </c>
      <c r="B401" t="s">
        <v>465</v>
      </c>
      <c r="C401" t="s">
        <v>466</v>
      </c>
      <c r="D401" t="s">
        <v>55</v>
      </c>
      <c r="E401" t="s">
        <v>467</v>
      </c>
      <c r="F401">
        <v>20</v>
      </c>
      <c r="G401">
        <v>53.035991243371583</v>
      </c>
      <c r="H401">
        <v>30.34654288470276</v>
      </c>
      <c r="I401">
        <v>1.0900000000000001</v>
      </c>
      <c r="J401">
        <v>0.6</v>
      </c>
      <c r="K401">
        <v>0.54</v>
      </c>
      <c r="L401">
        <v>0.25</v>
      </c>
      <c r="N401">
        <v>125</v>
      </c>
      <c r="O401">
        <v>10</v>
      </c>
      <c r="P401">
        <v>8</v>
      </c>
      <c r="Q401">
        <v>0.53616514621265798</v>
      </c>
      <c r="R401">
        <v>4782098.2730990862</v>
      </c>
      <c r="S401">
        <v>-5.2523057456400207E-3</v>
      </c>
      <c r="T401">
        <v>2040.3528096521011</v>
      </c>
      <c r="U401">
        <v>800.59853302729891</v>
      </c>
      <c r="V401">
        <v>451.40548886108439</v>
      </c>
      <c r="W401">
        <v>1.7735684496155411</v>
      </c>
      <c r="X401" t="s">
        <v>57</v>
      </c>
      <c r="Y401">
        <v>8</v>
      </c>
      <c r="Z401">
        <v>975.43899999999996</v>
      </c>
      <c r="AA401">
        <v>95.163399999999996</v>
      </c>
      <c r="AB401">
        <v>36.046199999999999</v>
      </c>
      <c r="AC401">
        <v>14.389252284743201</v>
      </c>
      <c r="AD401">
        <v>39.633136926833089</v>
      </c>
      <c r="AE401">
        <v>39.633136926833089</v>
      </c>
      <c r="AF401" t="s">
        <v>58</v>
      </c>
      <c r="AG401" t="b">
        <v>1</v>
      </c>
      <c r="AH401">
        <v>2.7543569424281871</v>
      </c>
      <c r="AI401">
        <v>971.57299999999998</v>
      </c>
      <c r="AJ401">
        <v>91.310100000000006</v>
      </c>
      <c r="AK401">
        <v>35.6967</v>
      </c>
      <c r="AL401">
        <v>13.85386745707277</v>
      </c>
      <c r="AM401">
        <v>39.449162487347607</v>
      </c>
      <c r="AN401">
        <v>39.449162487347607</v>
      </c>
      <c r="AO401" t="s">
        <v>58</v>
      </c>
      <c r="AP401" t="b">
        <v>1</v>
      </c>
      <c r="AQ401">
        <v>2.8475198430751369</v>
      </c>
      <c r="AR401">
        <v>975.43899999999996</v>
      </c>
      <c r="AS401">
        <v>39.633136926833089</v>
      </c>
      <c r="AT401">
        <v>2.8475198430751369</v>
      </c>
      <c r="AU401" s="5">
        <v>29.605953284344317</v>
      </c>
      <c r="AV401" s="5">
        <v>42.288557100930902</v>
      </c>
      <c r="AW401" s="5">
        <v>2.1270973227771273</v>
      </c>
      <c r="AX401" s="5">
        <v>3.0383036725611712</v>
      </c>
      <c r="AY401" t="s">
        <v>59</v>
      </c>
      <c r="AZ401" t="s">
        <v>60</v>
      </c>
      <c r="BA401" s="23">
        <f t="shared" si="6"/>
        <v>0</v>
      </c>
      <c r="BB401" s="23">
        <f>IF(AND(ISNUMBER(H401),Metadata!$H$5&gt;Metadata!$G$5),MAX(Metadata!$G$5-H401,0,H401-Metadata!$H$5)/(Metadata!$H$5-Metadata!$G$5),"Missing input")</f>
        <v>0</v>
      </c>
      <c r="BC401" s="23">
        <f>IF(AND(ISNUMBER(L401),Metadata!$H$8&gt;Metadata!$G$8),MAX(Metadata!$G$8-L401,0,L401-Metadata!$H$8)/(Metadata!$H$8-Metadata!$G$8),"Missing input")</f>
        <v>0</v>
      </c>
    </row>
    <row r="402" spans="1:55" x14ac:dyDescent="0.2">
      <c r="A402" t="s">
        <v>487</v>
      </c>
      <c r="B402" t="s">
        <v>488</v>
      </c>
      <c r="C402" t="s">
        <v>466</v>
      </c>
      <c r="D402" t="s">
        <v>55</v>
      </c>
      <c r="E402" t="s">
        <v>467</v>
      </c>
      <c r="F402">
        <v>1</v>
      </c>
      <c r="G402">
        <v>22.11413992487228</v>
      </c>
      <c r="H402">
        <v>28.832065765515338</v>
      </c>
      <c r="I402">
        <v>1.57</v>
      </c>
      <c r="J402">
        <v>1</v>
      </c>
      <c r="K402">
        <v>0.54</v>
      </c>
      <c r="L402">
        <v>0.25</v>
      </c>
      <c r="N402">
        <v>125</v>
      </c>
      <c r="O402">
        <v>12</v>
      </c>
      <c r="P402">
        <v>8</v>
      </c>
      <c r="Q402">
        <v>0.53616514621265798</v>
      </c>
      <c r="R402">
        <v>1866510.334985178</v>
      </c>
      <c r="S402">
        <v>-5.6711621665858801E-3</v>
      </c>
      <c r="T402">
        <v>1046.8540531203651</v>
      </c>
      <c r="U402">
        <v>672.06023102885479</v>
      </c>
      <c r="V402">
        <v>231.60487900893031</v>
      </c>
      <c r="W402">
        <v>2.9017533391554382</v>
      </c>
      <c r="X402" t="s">
        <v>57</v>
      </c>
      <c r="Y402">
        <v>8</v>
      </c>
      <c r="Z402">
        <v>579.76099999999997</v>
      </c>
      <c r="AA402">
        <v>95.163399999999996</v>
      </c>
      <c r="AB402">
        <v>37.809100000000001</v>
      </c>
      <c r="AC402">
        <v>16.820155156317849</v>
      </c>
      <c r="AD402">
        <v>46.935573097005992</v>
      </c>
      <c r="AE402">
        <v>46.935573097005992</v>
      </c>
      <c r="AF402" t="s">
        <v>58</v>
      </c>
      <c r="AG402" t="b">
        <v>1</v>
      </c>
      <c r="AH402">
        <v>2.790436393767536</v>
      </c>
      <c r="AI402">
        <v>578.452</v>
      </c>
      <c r="AJ402">
        <v>91.310100000000006</v>
      </c>
      <c r="AK402">
        <v>39.0974</v>
      </c>
      <c r="AL402">
        <v>16.547995601277051</v>
      </c>
      <c r="AM402">
        <v>46.462023915749157</v>
      </c>
      <c r="AN402">
        <v>46.462023915749157</v>
      </c>
      <c r="AO402" t="s">
        <v>58</v>
      </c>
      <c r="AP402" t="b">
        <v>1</v>
      </c>
      <c r="AQ402">
        <v>2.8077130931895802</v>
      </c>
      <c r="AR402">
        <v>579.76099999999997</v>
      </c>
      <c r="AS402">
        <v>46.935573097005992</v>
      </c>
      <c r="AT402">
        <v>2.8077130931895802</v>
      </c>
      <c r="AU402" s="5">
        <v>35.060873103463479</v>
      </c>
      <c r="AV402" s="5">
        <v>50.080256494505392</v>
      </c>
      <c r="AW402" s="5">
        <v>2.0973616806126163</v>
      </c>
      <c r="AX402" s="5">
        <v>2.995829870433282</v>
      </c>
      <c r="AY402" t="s">
        <v>59</v>
      </c>
      <c r="AZ402" t="s">
        <v>60</v>
      </c>
      <c r="BA402" s="23">
        <f t="shared" si="6"/>
        <v>0</v>
      </c>
      <c r="BB402" s="23">
        <f>IF(AND(ISNUMBER(H402),Metadata!$H$5&gt;Metadata!$G$5),MAX(Metadata!$G$5-H402,0,H402-Metadata!$H$5)/(Metadata!$H$5-Metadata!$G$5),"Missing input")</f>
        <v>0</v>
      </c>
      <c r="BC402" s="23">
        <f>IF(AND(ISNUMBER(L402),Metadata!$H$8&gt;Metadata!$G$8),MAX(Metadata!$G$8-L402,0,L402-Metadata!$H$8)/(Metadata!$H$8-Metadata!$G$8),"Missing input")</f>
        <v>0</v>
      </c>
    </row>
    <row r="403" spans="1:55" x14ac:dyDescent="0.2">
      <c r="A403" t="s">
        <v>489</v>
      </c>
      <c r="B403" t="s">
        <v>488</v>
      </c>
      <c r="C403" t="s">
        <v>466</v>
      </c>
      <c r="D403" t="s">
        <v>55</v>
      </c>
      <c r="E403" t="s">
        <v>467</v>
      </c>
      <c r="F403">
        <v>2</v>
      </c>
      <c r="G403">
        <v>39.289372610104301</v>
      </c>
      <c r="H403">
        <v>11.43599740060767</v>
      </c>
      <c r="I403">
        <v>1.57</v>
      </c>
      <c r="J403">
        <v>1</v>
      </c>
      <c r="K403">
        <v>0.54</v>
      </c>
      <c r="L403">
        <v>0.25</v>
      </c>
      <c r="N403">
        <v>125</v>
      </c>
      <c r="O403">
        <v>12</v>
      </c>
      <c r="P403">
        <v>8</v>
      </c>
      <c r="Q403">
        <v>0.53616514621265798</v>
      </c>
      <c r="R403">
        <v>1301660.814121977</v>
      </c>
      <c r="S403">
        <v>-3.4656653434715461E-3</v>
      </c>
      <c r="T403">
        <v>798.94441541690685</v>
      </c>
      <c r="U403">
        <v>750.05745558684532</v>
      </c>
      <c r="V403">
        <v>176.75761403028909</v>
      </c>
      <c r="W403">
        <v>4.243423739914908</v>
      </c>
      <c r="X403" t="s">
        <v>57</v>
      </c>
      <c r="Y403">
        <v>8</v>
      </c>
      <c r="Z403">
        <v>600.81100000000004</v>
      </c>
      <c r="AA403">
        <v>94.717100000000002</v>
      </c>
      <c r="AB403">
        <v>51.296399999999998</v>
      </c>
      <c r="AC403">
        <v>15.96106811031084</v>
      </c>
      <c r="AE403">
        <v>94.717100000000002</v>
      </c>
      <c r="AF403" t="s">
        <v>62</v>
      </c>
      <c r="AG403" t="b">
        <v>0</v>
      </c>
      <c r="AH403">
        <v>5.9342582429563588</v>
      </c>
      <c r="AI403">
        <v>594.78399999999999</v>
      </c>
      <c r="AJ403">
        <v>64.8232</v>
      </c>
      <c r="AK403">
        <v>51.757599999999996</v>
      </c>
      <c r="AL403">
        <v>15.35806758846268</v>
      </c>
      <c r="AM403">
        <v>51.81448010475539</v>
      </c>
      <c r="AN403">
        <v>51.81448010475539</v>
      </c>
      <c r="AO403" t="s">
        <v>58</v>
      </c>
      <c r="AP403" t="b">
        <v>1</v>
      </c>
      <c r="AQ403">
        <v>3.373762995005932</v>
      </c>
      <c r="AR403">
        <v>600.81100000000004</v>
      </c>
      <c r="AS403">
        <v>94.717100000000002</v>
      </c>
      <c r="AT403">
        <v>5.9342582429563588</v>
      </c>
      <c r="AU403" s="5">
        <v>70.753673700000007</v>
      </c>
      <c r="AV403" s="5">
        <v>101.06314569999999</v>
      </c>
      <c r="AW403" s="5">
        <v>4.4328909074884004</v>
      </c>
      <c r="AX403" s="5">
        <v>6.3318535452344342</v>
      </c>
      <c r="AY403" t="s">
        <v>59</v>
      </c>
      <c r="AZ403" t="s">
        <v>60</v>
      </c>
      <c r="BA403" s="23">
        <f t="shared" si="6"/>
        <v>0</v>
      </c>
      <c r="BB403" s="23">
        <f>IF(AND(ISNUMBER(H403),Metadata!$H$5&gt;Metadata!$G$5),MAX(Metadata!$G$5-H403,0,H403-Metadata!$H$5)/(Metadata!$H$5-Metadata!$G$5),"Missing input")</f>
        <v>0</v>
      </c>
      <c r="BC403" s="23">
        <f>IF(AND(ISNUMBER(L403),Metadata!$H$8&gt;Metadata!$G$8),MAX(Metadata!$G$8-L403,0,L403-Metadata!$H$8)/(Metadata!$H$8-Metadata!$G$8),"Missing input")</f>
        <v>0</v>
      </c>
    </row>
    <row r="404" spans="1:55" x14ac:dyDescent="0.2">
      <c r="A404" t="s">
        <v>490</v>
      </c>
      <c r="B404" t="s">
        <v>488</v>
      </c>
      <c r="C404" t="s">
        <v>466</v>
      </c>
      <c r="D404" t="s">
        <v>55</v>
      </c>
      <c r="E404" t="s">
        <v>467</v>
      </c>
      <c r="F404">
        <v>3</v>
      </c>
      <c r="G404">
        <v>50.720967279676117</v>
      </c>
      <c r="H404">
        <v>41.572102032205443</v>
      </c>
      <c r="I404">
        <v>1.57</v>
      </c>
      <c r="J404">
        <v>1</v>
      </c>
      <c r="K404">
        <v>0.54</v>
      </c>
      <c r="L404">
        <v>0.25</v>
      </c>
      <c r="N404">
        <v>125</v>
      </c>
      <c r="O404">
        <v>12</v>
      </c>
      <c r="P404">
        <v>8</v>
      </c>
      <c r="Q404">
        <v>0.53616514621265798</v>
      </c>
      <c r="R404">
        <v>6279453.0057685468</v>
      </c>
      <c r="S404">
        <v>-6.0917173671425707E-3</v>
      </c>
      <c r="T404">
        <v>2908.814378505906</v>
      </c>
      <c r="U404">
        <v>792.59154081609961</v>
      </c>
      <c r="V404">
        <v>643.54300409422694</v>
      </c>
      <c r="W404">
        <v>1.2316061798102449</v>
      </c>
      <c r="X404" t="s">
        <v>57</v>
      </c>
      <c r="Y404">
        <v>8</v>
      </c>
      <c r="Z404">
        <v>1005.93</v>
      </c>
      <c r="AA404">
        <v>95.163399999999996</v>
      </c>
      <c r="AB404">
        <v>25.7987</v>
      </c>
      <c r="AC404">
        <v>13.575263279002881</v>
      </c>
      <c r="AD404">
        <v>32.795503134078118</v>
      </c>
      <c r="AE404">
        <v>32.795503134078118</v>
      </c>
      <c r="AF404" t="s">
        <v>58</v>
      </c>
      <c r="AG404" t="b">
        <v>1</v>
      </c>
      <c r="AH404">
        <v>2.4158281471272511</v>
      </c>
      <c r="AI404">
        <v>1061.73</v>
      </c>
      <c r="AJ404">
        <v>91.310100000000006</v>
      </c>
      <c r="AK404">
        <v>32.074900000000007</v>
      </c>
      <c r="AL404">
        <v>14.10279209285456</v>
      </c>
      <c r="AM404">
        <v>32.291550256163987</v>
      </c>
      <c r="AN404">
        <v>32.291550256163987</v>
      </c>
      <c r="AO404" t="s">
        <v>58</v>
      </c>
      <c r="AP404" t="b">
        <v>1</v>
      </c>
      <c r="AQ404">
        <v>2.28972745563803</v>
      </c>
      <c r="AR404">
        <v>1061.73</v>
      </c>
      <c r="AS404">
        <v>32.795503134078118</v>
      </c>
      <c r="AT404">
        <v>2.4158281471272511</v>
      </c>
      <c r="AU404" s="5">
        <v>24.498240841156353</v>
      </c>
      <c r="AV404" s="5">
        <v>34.992801844061347</v>
      </c>
      <c r="AW404" s="5">
        <v>1.8046236259040567</v>
      </c>
      <c r="AX404" s="5">
        <v>2.5776886329847768</v>
      </c>
      <c r="AY404" t="s">
        <v>64</v>
      </c>
      <c r="AZ404" t="s">
        <v>7</v>
      </c>
      <c r="BA404" s="23">
        <f t="shared" si="6"/>
        <v>4.6063612035701466E-2</v>
      </c>
      <c r="BB404" s="23">
        <f>IF(AND(ISNUMBER(H404),Metadata!$H$5&gt;Metadata!$G$5),MAX(Metadata!$G$5-H404,0,H404-Metadata!$H$5)/(Metadata!$H$5-Metadata!$G$5),"Missing input")</f>
        <v>4.6063612035701466E-2</v>
      </c>
      <c r="BC404" s="23">
        <f>IF(AND(ISNUMBER(L404),Metadata!$H$8&gt;Metadata!$G$8),MAX(Metadata!$G$8-L404,0,L404-Metadata!$H$8)/(Metadata!$H$8-Metadata!$G$8),"Missing input")</f>
        <v>0</v>
      </c>
    </row>
    <row r="405" spans="1:55" x14ac:dyDescent="0.2">
      <c r="A405" t="s">
        <v>491</v>
      </c>
      <c r="B405" t="s">
        <v>488</v>
      </c>
      <c r="C405" t="s">
        <v>466</v>
      </c>
      <c r="D405" t="s">
        <v>55</v>
      </c>
      <c r="E405" t="s">
        <v>467</v>
      </c>
      <c r="F405">
        <v>4</v>
      </c>
      <c r="G405">
        <v>40.065365059576777</v>
      </c>
      <c r="H405">
        <v>25.23064360495534</v>
      </c>
      <c r="I405">
        <v>1.57</v>
      </c>
      <c r="J405">
        <v>1</v>
      </c>
      <c r="K405">
        <v>0.54</v>
      </c>
      <c r="L405">
        <v>0.25</v>
      </c>
      <c r="N405">
        <v>125</v>
      </c>
      <c r="O405">
        <v>12</v>
      </c>
      <c r="P405">
        <v>8</v>
      </c>
      <c r="Q405">
        <v>0.53616514621265798</v>
      </c>
      <c r="R405">
        <v>2986346.165161836</v>
      </c>
      <c r="S405">
        <v>-5.3543319495381542E-3</v>
      </c>
      <c r="T405">
        <v>1438.9505316345301</v>
      </c>
      <c r="U405">
        <v>753.12627800274458</v>
      </c>
      <c r="V405">
        <v>318.35188752976319</v>
      </c>
      <c r="W405">
        <v>2.3657038249296809</v>
      </c>
      <c r="X405" t="s">
        <v>57</v>
      </c>
      <c r="Y405">
        <v>8</v>
      </c>
      <c r="Z405">
        <v>809.46199999999999</v>
      </c>
      <c r="AA405">
        <v>95.163399999999996</v>
      </c>
      <c r="AB405">
        <v>43.415999999999997</v>
      </c>
      <c r="AC405">
        <v>16.149103240589191</v>
      </c>
      <c r="AD405">
        <v>51.496202781650346</v>
      </c>
      <c r="AE405">
        <v>51.496202781650346</v>
      </c>
      <c r="AF405" t="s">
        <v>58</v>
      </c>
      <c r="AG405" t="b">
        <v>1</v>
      </c>
      <c r="AH405">
        <v>3.1887964312606329</v>
      </c>
      <c r="AI405">
        <v>803.78599999999994</v>
      </c>
      <c r="AJ405">
        <v>91.310100000000006</v>
      </c>
      <c r="AK405">
        <v>39.358900000000013</v>
      </c>
      <c r="AL405">
        <v>15.71861995485926</v>
      </c>
      <c r="AM405">
        <v>51.837446342079247</v>
      </c>
      <c r="AN405">
        <v>51.837446342079247</v>
      </c>
      <c r="AO405" t="s">
        <v>58</v>
      </c>
      <c r="AP405" t="b">
        <v>1</v>
      </c>
      <c r="AQ405">
        <v>3.2978369914754628</v>
      </c>
      <c r="AR405">
        <v>809.46199999999999</v>
      </c>
      <c r="AS405">
        <v>51.837446342079247</v>
      </c>
      <c r="AT405">
        <v>3.2978369914754628</v>
      </c>
      <c r="AU405" s="5">
        <v>38.7225724175332</v>
      </c>
      <c r="AV405" s="5">
        <v>55.310555246998554</v>
      </c>
      <c r="AW405" s="5">
        <v>2.4634842326321706</v>
      </c>
      <c r="AX405" s="5">
        <v>3.5187920699043187</v>
      </c>
      <c r="AY405" t="s">
        <v>59</v>
      </c>
      <c r="AZ405" t="s">
        <v>60</v>
      </c>
      <c r="BA405" s="23">
        <f t="shared" si="6"/>
        <v>0</v>
      </c>
      <c r="BB405" s="23">
        <f>IF(AND(ISNUMBER(H405),Metadata!$H$5&gt;Metadata!$G$5),MAX(Metadata!$G$5-H405,0,H405-Metadata!$H$5)/(Metadata!$H$5-Metadata!$G$5),"Missing input")</f>
        <v>0</v>
      </c>
      <c r="BC405" s="23">
        <f>IF(AND(ISNUMBER(L405),Metadata!$H$8&gt;Metadata!$G$8),MAX(Metadata!$G$8-L405,0,L405-Metadata!$H$8)/(Metadata!$H$8-Metadata!$G$8),"Missing input")</f>
        <v>0</v>
      </c>
    </row>
    <row r="406" spans="1:55" x14ac:dyDescent="0.2">
      <c r="A406" t="s">
        <v>492</v>
      </c>
      <c r="B406" t="s">
        <v>488</v>
      </c>
      <c r="C406" t="s">
        <v>466</v>
      </c>
      <c r="D406" t="s">
        <v>55</v>
      </c>
      <c r="E406" t="s">
        <v>467</v>
      </c>
      <c r="F406">
        <v>5</v>
      </c>
      <c r="G406">
        <v>44.691650234033148</v>
      </c>
      <c r="H406">
        <v>35.278860063057749</v>
      </c>
      <c r="I406">
        <v>1.57</v>
      </c>
      <c r="J406">
        <v>1</v>
      </c>
      <c r="K406">
        <v>0.54</v>
      </c>
      <c r="L406">
        <v>0.25</v>
      </c>
      <c r="N406">
        <v>125</v>
      </c>
      <c r="O406">
        <v>12</v>
      </c>
      <c r="P406">
        <v>8</v>
      </c>
      <c r="Q406">
        <v>0.53616514621265798</v>
      </c>
      <c r="R406">
        <v>4683732.748780732</v>
      </c>
      <c r="S406">
        <v>-6.0103216684274279E-3</v>
      </c>
      <c r="T406">
        <v>2176.339990923505</v>
      </c>
      <c r="U406">
        <v>770.83560231362162</v>
      </c>
      <c r="V406">
        <v>481.49114843440373</v>
      </c>
      <c r="W406">
        <v>1.6009341081763151</v>
      </c>
      <c r="X406" t="s">
        <v>57</v>
      </c>
      <c r="Y406">
        <v>8</v>
      </c>
      <c r="Z406">
        <v>945.57399999999996</v>
      </c>
      <c r="AA406">
        <v>95.163399999999996</v>
      </c>
      <c r="AB406">
        <v>35.290599999999998</v>
      </c>
      <c r="AC406">
        <v>15.396990395256919</v>
      </c>
      <c r="AD406">
        <v>37.95826355427134</v>
      </c>
      <c r="AE406">
        <v>37.95826355427134</v>
      </c>
      <c r="AF406" t="s">
        <v>58</v>
      </c>
      <c r="AG406" t="b">
        <v>1</v>
      </c>
      <c r="AH406">
        <v>2.4653041003366791</v>
      </c>
      <c r="AI406">
        <v>939.19200000000001</v>
      </c>
      <c r="AJ406">
        <v>91.310100000000006</v>
      </c>
      <c r="AK406">
        <v>34.650399999999998</v>
      </c>
      <c r="AL406">
        <v>14.664426558497009</v>
      </c>
      <c r="AM406">
        <v>38.470877519963821</v>
      </c>
      <c r="AN406">
        <v>38.470877519963821</v>
      </c>
      <c r="AO406" t="s">
        <v>58</v>
      </c>
      <c r="AP406" t="b">
        <v>1</v>
      </c>
      <c r="AQ406">
        <v>2.6234150627371542</v>
      </c>
      <c r="AR406">
        <v>945.57399999999996</v>
      </c>
      <c r="AS406">
        <v>38.470877519963821</v>
      </c>
      <c r="AT406">
        <v>2.6234150627371542</v>
      </c>
      <c r="AU406" s="5">
        <v>28.737745507412974</v>
      </c>
      <c r="AV406" s="5">
        <v>41.048426313801393</v>
      </c>
      <c r="AW406" s="5">
        <v>1.9596910518646542</v>
      </c>
      <c r="AX406" s="5">
        <v>2.7991838719405435</v>
      </c>
      <c r="AY406" t="s">
        <v>59</v>
      </c>
      <c r="AZ406" t="s">
        <v>60</v>
      </c>
      <c r="BA406" s="23">
        <f t="shared" si="6"/>
        <v>0</v>
      </c>
      <c r="BB406" s="23">
        <f>IF(AND(ISNUMBER(H406),Metadata!$H$5&gt;Metadata!$G$5),MAX(Metadata!$G$5-H406,0,H406-Metadata!$H$5)/(Metadata!$H$5-Metadata!$G$5),"Missing input")</f>
        <v>0</v>
      </c>
      <c r="BC406" s="23">
        <f>IF(AND(ISNUMBER(L406),Metadata!$H$8&gt;Metadata!$G$8),MAX(Metadata!$G$8-L406,0,L406-Metadata!$H$8)/(Metadata!$H$8-Metadata!$G$8),"Missing input")</f>
        <v>0</v>
      </c>
    </row>
    <row r="407" spans="1:55" x14ac:dyDescent="0.2">
      <c r="A407" t="s">
        <v>493</v>
      </c>
      <c r="B407" t="s">
        <v>488</v>
      </c>
      <c r="C407" t="s">
        <v>466</v>
      </c>
      <c r="D407" t="s">
        <v>55</v>
      </c>
      <c r="E407" t="s">
        <v>467</v>
      </c>
      <c r="F407">
        <v>6</v>
      </c>
      <c r="G407">
        <v>33.086500490231572</v>
      </c>
      <c r="H407">
        <v>19.79580616436397</v>
      </c>
      <c r="I407">
        <v>1.57</v>
      </c>
      <c r="J407">
        <v>1</v>
      </c>
      <c r="K407">
        <v>0.54</v>
      </c>
      <c r="L407">
        <v>0.25</v>
      </c>
      <c r="N407">
        <v>125</v>
      </c>
      <c r="O407">
        <v>12</v>
      </c>
      <c r="P407">
        <v>8</v>
      </c>
      <c r="Q407">
        <v>0.53616514621265798</v>
      </c>
      <c r="R407">
        <v>1918643.176085273</v>
      </c>
      <c r="S407">
        <v>-4.7092753111339777E-3</v>
      </c>
      <c r="T407">
        <v>1031.076377327608</v>
      </c>
      <c r="U407">
        <v>724.34809556380162</v>
      </c>
      <c r="V407">
        <v>228.11424277159469</v>
      </c>
      <c r="W407">
        <v>3.1753742631891431</v>
      </c>
      <c r="X407" t="s">
        <v>57</v>
      </c>
      <c r="Y407">
        <v>8</v>
      </c>
      <c r="Z407">
        <v>665.02099999999996</v>
      </c>
      <c r="AA407">
        <v>95.163399999999996</v>
      </c>
      <c r="AB407">
        <v>48.565199999999997</v>
      </c>
      <c r="AC407">
        <v>16.54545441233892</v>
      </c>
      <c r="AD407">
        <v>65.116203605429178</v>
      </c>
      <c r="AE407">
        <v>65.116203605429178</v>
      </c>
      <c r="AF407" t="s">
        <v>58</v>
      </c>
      <c r="AG407" t="b">
        <v>1</v>
      </c>
      <c r="AH407">
        <v>3.9355947550686898</v>
      </c>
      <c r="AI407">
        <v>659.62699999999995</v>
      </c>
      <c r="AJ407">
        <v>91.310100000000006</v>
      </c>
      <c r="AK407">
        <v>48.322400000000002</v>
      </c>
      <c r="AL407">
        <v>16.049948397924929</v>
      </c>
      <c r="AM407">
        <v>64.823076606132375</v>
      </c>
      <c r="AN407">
        <v>64.823076606132375</v>
      </c>
      <c r="AO407" t="s">
        <v>58</v>
      </c>
      <c r="AP407" t="b">
        <v>1</v>
      </c>
      <c r="AQ407">
        <v>4.0388339575293113</v>
      </c>
      <c r="AR407">
        <v>665.02099999999996</v>
      </c>
      <c r="AS407">
        <v>65.116203605429178</v>
      </c>
      <c r="AT407">
        <v>4.0388339575293113</v>
      </c>
      <c r="AU407" s="5">
        <v>48.641804093255594</v>
      </c>
      <c r="AV407" s="5">
        <v>69.478989246992924</v>
      </c>
      <c r="AW407" s="5">
        <v>3.0170089662743957</v>
      </c>
      <c r="AX407" s="5">
        <v>4.3094358326837749</v>
      </c>
      <c r="AY407" t="s">
        <v>59</v>
      </c>
      <c r="AZ407" t="s">
        <v>60</v>
      </c>
      <c r="BA407" s="23">
        <f t="shared" si="6"/>
        <v>0</v>
      </c>
      <c r="BB407" s="23">
        <f>IF(AND(ISNUMBER(H407),Metadata!$H$5&gt;Metadata!$G$5),MAX(Metadata!$G$5-H407,0,H407-Metadata!$H$5)/(Metadata!$H$5-Metadata!$G$5),"Missing input")</f>
        <v>0</v>
      </c>
      <c r="BC407" s="23">
        <f>IF(AND(ISNUMBER(L407),Metadata!$H$8&gt;Metadata!$G$8),MAX(Metadata!$G$8-L407,0,L407-Metadata!$H$8)/(Metadata!$H$8-Metadata!$G$8),"Missing input")</f>
        <v>0</v>
      </c>
    </row>
    <row r="408" spans="1:55" x14ac:dyDescent="0.2">
      <c r="A408" t="s">
        <v>494</v>
      </c>
      <c r="B408" t="s">
        <v>488</v>
      </c>
      <c r="C408" t="s">
        <v>466</v>
      </c>
      <c r="D408" t="s">
        <v>55</v>
      </c>
      <c r="E408" t="s">
        <v>467</v>
      </c>
      <c r="F408">
        <v>7</v>
      </c>
      <c r="G408">
        <v>42.943727860216583</v>
      </c>
      <c r="H408">
        <v>31.604415760045629</v>
      </c>
      <c r="I408">
        <v>1.57</v>
      </c>
      <c r="J408">
        <v>1</v>
      </c>
      <c r="K408">
        <v>0.54</v>
      </c>
      <c r="L408">
        <v>0.25</v>
      </c>
      <c r="N408">
        <v>125</v>
      </c>
      <c r="O408">
        <v>12</v>
      </c>
      <c r="P408">
        <v>8</v>
      </c>
      <c r="Q408">
        <v>0.53616514621265798</v>
      </c>
      <c r="R408">
        <v>4025355.613741619</v>
      </c>
      <c r="S408">
        <v>-5.8517991354808743E-3</v>
      </c>
      <c r="T408">
        <v>1882.0087149447511</v>
      </c>
      <c r="U408">
        <v>764.25751687900618</v>
      </c>
      <c r="V408">
        <v>416.37360950105102</v>
      </c>
      <c r="W408">
        <v>1.8355090222812911</v>
      </c>
      <c r="X408" t="s">
        <v>57</v>
      </c>
      <c r="Y408">
        <v>8</v>
      </c>
      <c r="Z408">
        <v>901.21100000000001</v>
      </c>
      <c r="AA408">
        <v>95.163399999999996</v>
      </c>
      <c r="AB408">
        <v>37.809100000000001</v>
      </c>
      <c r="AC408">
        <v>15.761312975602671</v>
      </c>
      <c r="AD408">
        <v>43.000046635283283</v>
      </c>
      <c r="AE408">
        <v>43.000046635283283</v>
      </c>
      <c r="AF408" t="s">
        <v>58</v>
      </c>
      <c r="AG408" t="b">
        <v>1</v>
      </c>
      <c r="AH408">
        <v>2.728202066784926</v>
      </c>
      <c r="AI408">
        <v>898.38199999999995</v>
      </c>
      <c r="AJ408">
        <v>91.310100000000006</v>
      </c>
      <c r="AK408">
        <v>37.789400000000001</v>
      </c>
      <c r="AL408">
        <v>15.27861688788812</v>
      </c>
      <c r="AM408">
        <v>41.31973072920227</v>
      </c>
      <c r="AN408">
        <v>41.31973072920227</v>
      </c>
      <c r="AO408" t="s">
        <v>58</v>
      </c>
      <c r="AP408" t="b">
        <v>1</v>
      </c>
      <c r="AQ408">
        <v>2.7044156570191791</v>
      </c>
      <c r="AR408">
        <v>901.21100000000001</v>
      </c>
      <c r="AS408">
        <v>43.000046635283283</v>
      </c>
      <c r="AT408">
        <v>2.728202066784926</v>
      </c>
      <c r="AU408" s="5">
        <v>32.121034836556611</v>
      </c>
      <c r="AV408" s="5">
        <v>45.881049759847258</v>
      </c>
      <c r="AW408" s="5">
        <v>2.0379669438883399</v>
      </c>
      <c r="AX408" s="5">
        <v>2.9109916052595159</v>
      </c>
      <c r="AY408" t="s">
        <v>59</v>
      </c>
      <c r="AZ408" t="s">
        <v>60</v>
      </c>
      <c r="BA408" s="23">
        <f t="shared" si="6"/>
        <v>0</v>
      </c>
      <c r="BB408" s="23">
        <f>IF(AND(ISNUMBER(H408),Metadata!$H$5&gt;Metadata!$G$5),MAX(Metadata!$G$5-H408,0,H408-Metadata!$H$5)/(Metadata!$H$5-Metadata!$G$5),"Missing input")</f>
        <v>0</v>
      </c>
      <c r="BC408" s="23">
        <f>IF(AND(ISNUMBER(L408),Metadata!$H$8&gt;Metadata!$G$8),MAX(Metadata!$G$8-L408,0,L408-Metadata!$H$8)/(Metadata!$H$8-Metadata!$G$8),"Missing input")</f>
        <v>0</v>
      </c>
    </row>
    <row r="409" spans="1:55" x14ac:dyDescent="0.2">
      <c r="A409" t="s">
        <v>495</v>
      </c>
      <c r="B409" t="s">
        <v>488</v>
      </c>
      <c r="C409" t="s">
        <v>466</v>
      </c>
      <c r="D409" t="s">
        <v>55</v>
      </c>
      <c r="E409" t="s">
        <v>467</v>
      </c>
      <c r="F409">
        <v>8</v>
      </c>
      <c r="G409">
        <v>29.155454969686971</v>
      </c>
      <c r="H409">
        <v>7.3398505058277053</v>
      </c>
      <c r="I409">
        <v>1.57</v>
      </c>
      <c r="J409">
        <v>1</v>
      </c>
      <c r="K409">
        <v>0.54</v>
      </c>
      <c r="L409">
        <v>0.25</v>
      </c>
      <c r="N409">
        <v>125</v>
      </c>
      <c r="O409">
        <v>12</v>
      </c>
      <c r="P409">
        <v>8</v>
      </c>
      <c r="Q409">
        <v>0.53616514621265798</v>
      </c>
      <c r="R409">
        <v>595711.36772068124</v>
      </c>
      <c r="S409">
        <v>-2.8473392101775082E-3</v>
      </c>
      <c r="T409">
        <v>595.85403593510887</v>
      </c>
      <c r="U409">
        <v>706.7858992589853</v>
      </c>
      <c r="V409">
        <v>131.82611414493559</v>
      </c>
      <c r="W409">
        <v>5.3615014281761564</v>
      </c>
      <c r="X409" t="s">
        <v>57</v>
      </c>
      <c r="Y409">
        <v>8</v>
      </c>
      <c r="Z409">
        <v>464.64100000000002</v>
      </c>
      <c r="AA409">
        <v>95.163399999999996</v>
      </c>
      <c r="AB409">
        <v>51.296399999999998</v>
      </c>
      <c r="AC409">
        <v>16.70339729012915</v>
      </c>
      <c r="AE409">
        <v>95.163399999999996</v>
      </c>
      <c r="AF409" t="s">
        <v>62</v>
      </c>
      <c r="AG409" t="b">
        <v>0</v>
      </c>
      <c r="AH409">
        <v>5.6972481913147499</v>
      </c>
      <c r="AI409">
        <v>459.39299999999997</v>
      </c>
      <c r="AJ409">
        <v>91.310100000000006</v>
      </c>
      <c r="AK409">
        <v>64.381599999999992</v>
      </c>
      <c r="AL409">
        <v>15.99809891502553</v>
      </c>
      <c r="AN409">
        <v>91.310100000000006</v>
      </c>
      <c r="AO409" t="s">
        <v>62</v>
      </c>
      <c r="AP409" t="b">
        <v>0</v>
      </c>
      <c r="AQ409">
        <v>5.7075594097146709</v>
      </c>
      <c r="AR409">
        <v>464.64100000000002</v>
      </c>
      <c r="AS409">
        <v>95.163399999999996</v>
      </c>
      <c r="AT409">
        <v>5.7075594097146709</v>
      </c>
      <c r="AU409" s="5">
        <v>71.087059799999992</v>
      </c>
      <c r="AV409" s="5">
        <v>101.53934779999999</v>
      </c>
      <c r="AW409" s="5">
        <v>4.2635468790568591</v>
      </c>
      <c r="AX409" s="5">
        <v>6.0899658901655531</v>
      </c>
      <c r="AY409" t="s">
        <v>59</v>
      </c>
      <c r="AZ409" t="s">
        <v>60</v>
      </c>
      <c r="BA409" s="23">
        <f t="shared" si="6"/>
        <v>0</v>
      </c>
      <c r="BB409" s="23">
        <f>IF(AND(ISNUMBER(H409),Metadata!$H$5&gt;Metadata!$G$5),MAX(Metadata!$G$5-H409,0,H409-Metadata!$H$5)/(Metadata!$H$5-Metadata!$G$5),"Missing input")</f>
        <v>0</v>
      </c>
      <c r="BC409" s="23">
        <f>IF(AND(ISNUMBER(L409),Metadata!$H$8&gt;Metadata!$G$8),MAX(Metadata!$G$8-L409,0,L409-Metadata!$H$8)/(Metadata!$H$8-Metadata!$G$8),"Missing input")</f>
        <v>0</v>
      </c>
    </row>
    <row r="410" spans="1:55" x14ac:dyDescent="0.2">
      <c r="A410" t="s">
        <v>496</v>
      </c>
      <c r="B410" t="s">
        <v>488</v>
      </c>
      <c r="C410" t="s">
        <v>466</v>
      </c>
      <c r="D410" t="s">
        <v>55</v>
      </c>
      <c r="E410" t="s">
        <v>467</v>
      </c>
      <c r="F410">
        <v>9</v>
      </c>
      <c r="G410">
        <v>59.748609235827082</v>
      </c>
      <c r="H410">
        <v>37.783512331141722</v>
      </c>
      <c r="I410">
        <v>1.57</v>
      </c>
      <c r="J410">
        <v>1</v>
      </c>
      <c r="K410">
        <v>0.54</v>
      </c>
      <c r="L410">
        <v>0.25</v>
      </c>
      <c r="N410">
        <v>125</v>
      </c>
      <c r="O410">
        <v>12</v>
      </c>
      <c r="P410">
        <v>8</v>
      </c>
      <c r="Q410">
        <v>0.53616514621265798</v>
      </c>
      <c r="R410">
        <v>6726258.2664913209</v>
      </c>
      <c r="S410">
        <v>-6.0695773099959686E-3</v>
      </c>
      <c r="T410">
        <v>3072.503253602059</v>
      </c>
      <c r="U410">
        <v>822.87545002106197</v>
      </c>
      <c r="V410">
        <v>679.757356991606</v>
      </c>
      <c r="W410">
        <v>1.210542911463073</v>
      </c>
      <c r="X410" t="s">
        <v>57</v>
      </c>
      <c r="Y410">
        <v>8</v>
      </c>
      <c r="Z410">
        <v>1188.77</v>
      </c>
      <c r="AA410">
        <v>95.163399999999996</v>
      </c>
      <c r="AB410">
        <v>33.779499999999999</v>
      </c>
      <c r="AC410">
        <v>15.41954727870813</v>
      </c>
      <c r="AD410">
        <v>36.414363984348697</v>
      </c>
      <c r="AE410">
        <v>36.414363984348697</v>
      </c>
      <c r="AF410" t="s">
        <v>58</v>
      </c>
      <c r="AG410" t="b">
        <v>1</v>
      </c>
      <c r="AH410">
        <v>2.361571538136594</v>
      </c>
      <c r="AI410">
        <v>1182.73</v>
      </c>
      <c r="AJ410">
        <v>91.310100000000006</v>
      </c>
      <c r="AK410">
        <v>32.289299999999997</v>
      </c>
      <c r="AL410">
        <v>14.53739713067716</v>
      </c>
      <c r="AM410">
        <v>35.809679814241477</v>
      </c>
      <c r="AN410">
        <v>35.809679814241477</v>
      </c>
      <c r="AO410" t="s">
        <v>58</v>
      </c>
      <c r="AP410" t="b">
        <v>1</v>
      </c>
      <c r="AQ410">
        <v>2.4632800144583689</v>
      </c>
      <c r="AR410">
        <v>1188.77</v>
      </c>
      <c r="AS410">
        <v>36.414363984348697</v>
      </c>
      <c r="AT410">
        <v>2.4632800144583689</v>
      </c>
      <c r="AU410" s="5">
        <v>27.201529896308475</v>
      </c>
      <c r="AV410" s="5">
        <v>38.854126371300055</v>
      </c>
      <c r="AW410" s="5">
        <v>1.8400701708004015</v>
      </c>
      <c r="AX410" s="5">
        <v>2.6283197754270793</v>
      </c>
      <c r="AY410" t="s">
        <v>59</v>
      </c>
      <c r="AZ410" t="s">
        <v>60</v>
      </c>
      <c r="BA410" s="23">
        <f t="shared" si="6"/>
        <v>0</v>
      </c>
      <c r="BB410" s="23">
        <f>IF(AND(ISNUMBER(H410),Metadata!$H$5&gt;Metadata!$G$5),MAX(Metadata!$G$5-H410,0,H410-Metadata!$H$5)/(Metadata!$H$5-Metadata!$G$5),"Missing input")</f>
        <v>0</v>
      </c>
      <c r="BC410" s="23">
        <f>IF(AND(ISNUMBER(L410),Metadata!$H$8&gt;Metadata!$G$8),MAX(Metadata!$G$8-L410,0,L410-Metadata!$H$8)/(Metadata!$H$8-Metadata!$G$8),"Missing input")</f>
        <v>0</v>
      </c>
    </row>
    <row r="411" spans="1:55" x14ac:dyDescent="0.2">
      <c r="A411" t="s">
        <v>497</v>
      </c>
      <c r="B411" t="s">
        <v>488</v>
      </c>
      <c r="C411" t="s">
        <v>466</v>
      </c>
      <c r="D411" t="s">
        <v>55</v>
      </c>
      <c r="E411" t="s">
        <v>467</v>
      </c>
      <c r="F411">
        <v>10</v>
      </c>
      <c r="G411">
        <v>34.746337553007109</v>
      </c>
      <c r="H411">
        <v>23.7414613202046</v>
      </c>
      <c r="I411">
        <v>1.57</v>
      </c>
      <c r="J411">
        <v>1</v>
      </c>
      <c r="K411">
        <v>0.54</v>
      </c>
      <c r="L411">
        <v>0.25</v>
      </c>
      <c r="N411">
        <v>125</v>
      </c>
      <c r="O411">
        <v>12</v>
      </c>
      <c r="P411">
        <v>8</v>
      </c>
      <c r="Q411">
        <v>0.53616514621265798</v>
      </c>
      <c r="R411">
        <v>2428507.8121004719</v>
      </c>
      <c r="S411">
        <v>-5.1964769256386484E-3</v>
      </c>
      <c r="T411">
        <v>1226.993074722669</v>
      </c>
      <c r="U411">
        <v>731.44834288856589</v>
      </c>
      <c r="V411">
        <v>271.458644850148</v>
      </c>
      <c r="W411">
        <v>2.694511141070286</v>
      </c>
      <c r="X411" t="s">
        <v>57</v>
      </c>
      <c r="Y411">
        <v>8</v>
      </c>
      <c r="Z411">
        <v>725.70399999999995</v>
      </c>
      <c r="AA411">
        <v>95.163399999999996</v>
      </c>
      <c r="AB411">
        <v>44.611400000000003</v>
      </c>
      <c r="AC411">
        <v>16.418896698459289</v>
      </c>
      <c r="AD411">
        <v>54.413437155399471</v>
      </c>
      <c r="AE411">
        <v>54.413437155399471</v>
      </c>
      <c r="AF411" t="s">
        <v>58</v>
      </c>
      <c r="AG411" t="b">
        <v>1</v>
      </c>
      <c r="AH411">
        <v>3.31407390854134</v>
      </c>
      <c r="AI411">
        <v>720.14300000000003</v>
      </c>
      <c r="AJ411">
        <v>91.310100000000006</v>
      </c>
      <c r="AK411">
        <v>44.200299999999999</v>
      </c>
      <c r="AL411">
        <v>15.96634552946324</v>
      </c>
      <c r="AM411">
        <v>53.559392195095661</v>
      </c>
      <c r="AN411">
        <v>53.559392195095661</v>
      </c>
      <c r="AO411" t="s">
        <v>58</v>
      </c>
      <c r="AP411" t="b">
        <v>1</v>
      </c>
      <c r="AQ411">
        <v>3.3545179199749051</v>
      </c>
      <c r="AR411">
        <v>725.70399999999995</v>
      </c>
      <c r="AS411">
        <v>54.413437155399471</v>
      </c>
      <c r="AT411">
        <v>3.3545179199749051</v>
      </c>
      <c r="AU411" s="5">
        <v>40.646837555083408</v>
      </c>
      <c r="AV411" s="5">
        <v>58.059137444811235</v>
      </c>
      <c r="AW411" s="5">
        <v>2.5058248862212542</v>
      </c>
      <c r="AX411" s="5">
        <v>3.5792706206132237</v>
      </c>
      <c r="AY411" t="s">
        <v>59</v>
      </c>
      <c r="AZ411" t="s">
        <v>60</v>
      </c>
      <c r="BA411" s="23">
        <f t="shared" si="6"/>
        <v>0</v>
      </c>
      <c r="BB411" s="23">
        <f>IF(AND(ISNUMBER(H411),Metadata!$H$5&gt;Metadata!$G$5),MAX(Metadata!$G$5-H411,0,H411-Metadata!$H$5)/(Metadata!$H$5-Metadata!$G$5),"Missing input")</f>
        <v>0</v>
      </c>
      <c r="BC411" s="23">
        <f>IF(AND(ISNUMBER(L411),Metadata!$H$8&gt;Metadata!$G$8),MAX(Metadata!$G$8-L411,0,L411-Metadata!$H$8)/(Metadata!$H$8-Metadata!$G$8),"Missing input")</f>
        <v>0</v>
      </c>
    </row>
    <row r="412" spans="1:55" x14ac:dyDescent="0.2">
      <c r="A412" t="s">
        <v>498</v>
      </c>
      <c r="B412" t="s">
        <v>488</v>
      </c>
      <c r="C412" t="s">
        <v>466</v>
      </c>
      <c r="D412" t="s">
        <v>55</v>
      </c>
      <c r="E412" t="s">
        <v>467</v>
      </c>
      <c r="F412">
        <v>11</v>
      </c>
      <c r="G412">
        <v>24.502161634428251</v>
      </c>
      <c r="H412">
        <v>33.048591474592847</v>
      </c>
      <c r="I412">
        <v>1.57</v>
      </c>
      <c r="J412">
        <v>1</v>
      </c>
      <c r="K412">
        <v>0.54</v>
      </c>
      <c r="L412">
        <v>0.25</v>
      </c>
      <c r="N412">
        <v>125</v>
      </c>
      <c r="O412">
        <v>12</v>
      </c>
      <c r="P412">
        <v>8</v>
      </c>
      <c r="Q412">
        <v>0.53616514621265798</v>
      </c>
      <c r="R412">
        <v>2383007.1153019848</v>
      </c>
      <c r="S412">
        <v>-5.9247430277138786E-3</v>
      </c>
      <c r="T412">
        <v>1249.7308546034069</v>
      </c>
      <c r="U412">
        <v>684.38581388777777</v>
      </c>
      <c r="V412">
        <v>276.48912712464761</v>
      </c>
      <c r="W412">
        <v>2.4752720694844581</v>
      </c>
      <c r="X412" t="s">
        <v>57</v>
      </c>
      <c r="Y412">
        <v>8</v>
      </c>
      <c r="Z412">
        <v>628.54200000000003</v>
      </c>
      <c r="AA412">
        <v>95.163399999999996</v>
      </c>
      <c r="AB412">
        <v>36.801699999999997</v>
      </c>
      <c r="AC412">
        <v>16.21555130942788</v>
      </c>
      <c r="AD412">
        <v>42.112956978446938</v>
      </c>
      <c r="AE412">
        <v>42.112956978446938</v>
      </c>
      <c r="AF412" t="s">
        <v>58</v>
      </c>
      <c r="AG412" t="b">
        <v>1</v>
      </c>
      <c r="AH412">
        <v>2.5970721670105692</v>
      </c>
      <c r="AI412">
        <v>622.59</v>
      </c>
      <c r="AJ412">
        <v>91.310100000000006</v>
      </c>
      <c r="AK412">
        <v>36.219900000000003</v>
      </c>
      <c r="AL412">
        <v>15.579370339262191</v>
      </c>
      <c r="AM412">
        <v>41.065984799833203</v>
      </c>
      <c r="AN412">
        <v>41.065984799833203</v>
      </c>
      <c r="AO412" t="s">
        <v>58</v>
      </c>
      <c r="AP412" t="b">
        <v>1</v>
      </c>
      <c r="AQ412">
        <v>2.6359207019003321</v>
      </c>
      <c r="AR412">
        <v>628.54200000000003</v>
      </c>
      <c r="AS412">
        <v>42.112956978446938</v>
      </c>
      <c r="AT412">
        <v>2.6359207019003321</v>
      </c>
      <c r="AU412" s="5">
        <v>31.458378862899863</v>
      </c>
      <c r="AV412" s="5">
        <v>44.934525096002879</v>
      </c>
      <c r="AW412" s="5">
        <v>1.969032764319548</v>
      </c>
      <c r="AX412" s="5">
        <v>2.8125273889276543</v>
      </c>
      <c r="AY412" t="s">
        <v>59</v>
      </c>
      <c r="AZ412" t="s">
        <v>60</v>
      </c>
      <c r="BA412" s="23">
        <f t="shared" si="6"/>
        <v>0</v>
      </c>
      <c r="BB412" s="23">
        <f>IF(AND(ISNUMBER(H412),Metadata!$H$5&gt;Metadata!$G$5),MAX(Metadata!$G$5-H412,0,H412-Metadata!$H$5)/(Metadata!$H$5-Metadata!$G$5),"Missing input")</f>
        <v>0</v>
      </c>
      <c r="BC412" s="23">
        <f>IF(AND(ISNUMBER(L412),Metadata!$H$8&gt;Metadata!$G$8),MAX(Metadata!$G$8-L412,0,L412-Metadata!$H$8)/(Metadata!$H$8-Metadata!$G$8),"Missing input")</f>
        <v>0</v>
      </c>
    </row>
    <row r="413" spans="1:55" x14ac:dyDescent="0.2">
      <c r="A413" t="s">
        <v>499</v>
      </c>
      <c r="B413" t="s">
        <v>488</v>
      </c>
      <c r="C413" t="s">
        <v>466</v>
      </c>
      <c r="D413" t="s">
        <v>55</v>
      </c>
      <c r="E413" t="s">
        <v>467</v>
      </c>
      <c r="F413">
        <v>12</v>
      </c>
      <c r="G413">
        <v>56.241153781572699</v>
      </c>
      <c r="H413">
        <v>14.78764467513273</v>
      </c>
      <c r="I413">
        <v>1.57</v>
      </c>
      <c r="J413">
        <v>1</v>
      </c>
      <c r="K413">
        <v>0.54</v>
      </c>
      <c r="L413">
        <v>0.25</v>
      </c>
      <c r="N413">
        <v>125</v>
      </c>
      <c r="O413">
        <v>12</v>
      </c>
      <c r="P413">
        <v>8</v>
      </c>
      <c r="Q413">
        <v>0.53616514621265798</v>
      </c>
      <c r="R413">
        <v>2448743.9197241841</v>
      </c>
      <c r="S413">
        <v>-3.9825310492039726E-3</v>
      </c>
      <c r="T413">
        <v>1177.9239360675449</v>
      </c>
      <c r="U413">
        <v>811.40111588676484</v>
      </c>
      <c r="V413">
        <v>260.60264072290818</v>
      </c>
      <c r="W413">
        <v>3.1135567684039929</v>
      </c>
      <c r="X413" t="s">
        <v>57</v>
      </c>
      <c r="Y413">
        <v>8</v>
      </c>
      <c r="Z413">
        <v>817.95500000000004</v>
      </c>
      <c r="AA413">
        <v>95.163399999999996</v>
      </c>
      <c r="AB413">
        <v>51.296399999999998</v>
      </c>
      <c r="AC413">
        <v>15.397293169014089</v>
      </c>
      <c r="AD413">
        <v>85.190654906054277</v>
      </c>
      <c r="AE413">
        <v>85.190654906054277</v>
      </c>
      <c r="AF413" t="s">
        <v>58</v>
      </c>
      <c r="AG413" t="b">
        <v>1</v>
      </c>
      <c r="AH413">
        <v>5.5328332045722268</v>
      </c>
      <c r="AI413">
        <v>812.798</v>
      </c>
      <c r="AJ413">
        <v>91.310100000000006</v>
      </c>
      <c r="AK413">
        <v>51.757599999999996</v>
      </c>
      <c r="AL413">
        <v>14.957991489361699</v>
      </c>
      <c r="AM413">
        <v>84.895349212832059</v>
      </c>
      <c r="AN413">
        <v>84.895349212832059</v>
      </c>
      <c r="AO413" t="s">
        <v>58</v>
      </c>
      <c r="AP413" t="b">
        <v>1</v>
      </c>
      <c r="AQ413">
        <v>5.6755848051665634</v>
      </c>
      <c r="AR413">
        <v>817.95500000000004</v>
      </c>
      <c r="AS413">
        <v>85.190654906054277</v>
      </c>
      <c r="AT413">
        <v>5.6755848051665634</v>
      </c>
      <c r="AU413" s="5">
        <v>63.637419214822543</v>
      </c>
      <c r="AV413" s="5">
        <v>90.898428784759915</v>
      </c>
      <c r="AW413" s="5">
        <v>4.2396618494594227</v>
      </c>
      <c r="AX413" s="5">
        <v>6.0558489871127232</v>
      </c>
      <c r="AY413" t="s">
        <v>59</v>
      </c>
      <c r="AZ413" t="s">
        <v>60</v>
      </c>
      <c r="BA413" s="23">
        <f t="shared" si="6"/>
        <v>0</v>
      </c>
      <c r="BB413" s="23">
        <f>IF(AND(ISNUMBER(H413),Metadata!$H$5&gt;Metadata!$G$5),MAX(Metadata!$G$5-H413,0,H413-Metadata!$H$5)/(Metadata!$H$5-Metadata!$G$5),"Missing input")</f>
        <v>0</v>
      </c>
      <c r="BC413" s="23">
        <f>IF(AND(ISNUMBER(L413),Metadata!$H$8&gt;Metadata!$G$8),MAX(Metadata!$G$8-L413,0,L413-Metadata!$H$8)/(Metadata!$H$8-Metadata!$G$8),"Missing input")</f>
        <v>0</v>
      </c>
    </row>
    <row r="414" spans="1:55" x14ac:dyDescent="0.2">
      <c r="A414" t="s">
        <v>500</v>
      </c>
      <c r="B414" t="s">
        <v>488</v>
      </c>
      <c r="C414" t="s">
        <v>466</v>
      </c>
      <c r="D414" t="s">
        <v>55</v>
      </c>
      <c r="E414" t="s">
        <v>467</v>
      </c>
      <c r="F414">
        <v>13</v>
      </c>
      <c r="G414">
        <v>49.119901382435643</v>
      </c>
      <c r="H414">
        <v>22.54933477691009</v>
      </c>
      <c r="I414">
        <v>1.57</v>
      </c>
      <c r="J414">
        <v>1</v>
      </c>
      <c r="K414">
        <v>0.54</v>
      </c>
      <c r="L414">
        <v>0.25</v>
      </c>
      <c r="N414">
        <v>125</v>
      </c>
      <c r="O414">
        <v>12</v>
      </c>
      <c r="P414">
        <v>8</v>
      </c>
      <c r="Q414">
        <v>0.53616514621265798</v>
      </c>
      <c r="R414">
        <v>3276584.6264440492</v>
      </c>
      <c r="S414">
        <v>-5.0593515887301004E-3</v>
      </c>
      <c r="T414">
        <v>1529.001502173433</v>
      </c>
      <c r="U414">
        <v>786.94653369120795</v>
      </c>
      <c r="V414">
        <v>338.27466862244108</v>
      </c>
      <c r="W414">
        <v>2.3263537198806441</v>
      </c>
      <c r="X414" t="s">
        <v>57</v>
      </c>
      <c r="Y414">
        <v>8</v>
      </c>
      <c r="Z414">
        <v>893.90599999999995</v>
      </c>
      <c r="AA414">
        <v>95.091899999999995</v>
      </c>
      <c r="AB414">
        <v>44.910200000000003</v>
      </c>
      <c r="AC414">
        <v>15.9824971613097</v>
      </c>
      <c r="AD414">
        <v>44.97860696268836</v>
      </c>
      <c r="AE414">
        <v>44.97860696268836</v>
      </c>
      <c r="AF414" t="s">
        <v>58</v>
      </c>
      <c r="AG414" t="b">
        <v>1</v>
      </c>
      <c r="AH414">
        <v>2.814241511118313</v>
      </c>
      <c r="AI414">
        <v>884.54200000000003</v>
      </c>
      <c r="AJ414">
        <v>91.381599999999992</v>
      </c>
      <c r="AK414">
        <v>39.358900000000013</v>
      </c>
      <c r="AL414">
        <v>15.48063295019157</v>
      </c>
      <c r="AM414">
        <v>57.738137826108868</v>
      </c>
      <c r="AN414">
        <v>57.738137826108868</v>
      </c>
      <c r="AO414" t="s">
        <v>58</v>
      </c>
      <c r="AP414" t="b">
        <v>1</v>
      </c>
      <c r="AQ414">
        <v>3.7297013637542751</v>
      </c>
      <c r="AR414">
        <v>893.90599999999995</v>
      </c>
      <c r="AS414">
        <v>57.738137826108868</v>
      </c>
      <c r="AT414">
        <v>3.7297013637542751</v>
      </c>
      <c r="AU414" s="5">
        <v>43.130388956103324</v>
      </c>
      <c r="AV414" s="5">
        <v>61.60659306045816</v>
      </c>
      <c r="AW414" s="5">
        <v>2.7860869187244437</v>
      </c>
      <c r="AX414" s="5">
        <v>3.9795913551258115</v>
      </c>
      <c r="AY414" t="s">
        <v>59</v>
      </c>
      <c r="AZ414" t="s">
        <v>60</v>
      </c>
      <c r="BA414" s="23">
        <f t="shared" si="6"/>
        <v>0</v>
      </c>
      <c r="BB414" s="23">
        <f>IF(AND(ISNUMBER(H414),Metadata!$H$5&gt;Metadata!$G$5),MAX(Metadata!$G$5-H414,0,H414-Metadata!$H$5)/(Metadata!$H$5-Metadata!$G$5),"Missing input")</f>
        <v>0</v>
      </c>
      <c r="BC414" s="23">
        <f>IF(AND(ISNUMBER(L414),Metadata!$H$8&gt;Metadata!$G$8),MAX(Metadata!$G$8-L414,0,L414-Metadata!$H$8)/(Metadata!$H$8-Metadata!$G$8),"Missing input")</f>
        <v>0</v>
      </c>
    </row>
    <row r="415" spans="1:55" x14ac:dyDescent="0.2">
      <c r="A415" t="s">
        <v>501</v>
      </c>
      <c r="B415" t="s">
        <v>488</v>
      </c>
      <c r="C415" t="s">
        <v>466</v>
      </c>
      <c r="D415" t="s">
        <v>55</v>
      </c>
      <c r="E415" t="s">
        <v>467</v>
      </c>
      <c r="F415">
        <v>14</v>
      </c>
      <c r="G415">
        <v>37.958866376576751</v>
      </c>
      <c r="H415">
        <v>9.8264864335603903</v>
      </c>
      <c r="I415">
        <v>1.57</v>
      </c>
      <c r="J415">
        <v>1</v>
      </c>
      <c r="K415">
        <v>0.54</v>
      </c>
      <c r="L415">
        <v>0.25</v>
      </c>
      <c r="N415">
        <v>125</v>
      </c>
      <c r="O415">
        <v>12</v>
      </c>
      <c r="P415">
        <v>8</v>
      </c>
      <c r="Q415">
        <v>0.53616514621265798</v>
      </c>
      <c r="R415">
        <v>1072728.181448289</v>
      </c>
      <c r="S415">
        <v>-3.2185891369342378E-3</v>
      </c>
      <c r="T415">
        <v>727.37497574264273</v>
      </c>
      <c r="U415">
        <v>744.72430032575369</v>
      </c>
      <c r="V415">
        <v>160.92366719969971</v>
      </c>
      <c r="W415">
        <v>4.6278108949728392</v>
      </c>
      <c r="X415" t="s">
        <v>57</v>
      </c>
      <c r="Y415">
        <v>8</v>
      </c>
      <c r="Z415">
        <v>560.86400000000003</v>
      </c>
      <c r="AA415">
        <v>95.163399999999996</v>
      </c>
      <c r="AB415">
        <v>62.849600000000002</v>
      </c>
      <c r="AC415">
        <v>16.00717612752722</v>
      </c>
      <c r="AE415">
        <v>95.163399999999996</v>
      </c>
      <c r="AF415" t="s">
        <v>62</v>
      </c>
      <c r="AG415" t="b">
        <v>0</v>
      </c>
      <c r="AH415">
        <v>5.9450460994397014</v>
      </c>
      <c r="AI415">
        <v>557.42700000000002</v>
      </c>
      <c r="AJ415">
        <v>91.310100000000006</v>
      </c>
      <c r="AK415">
        <v>62.662199999999999</v>
      </c>
      <c r="AL415">
        <v>15.50863240460327</v>
      </c>
      <c r="AN415">
        <v>91.310100000000006</v>
      </c>
      <c r="AO415" t="s">
        <v>62</v>
      </c>
      <c r="AP415" t="b">
        <v>0</v>
      </c>
      <c r="AQ415">
        <v>5.8876951634302293</v>
      </c>
      <c r="AR415">
        <v>560.86400000000003</v>
      </c>
      <c r="AS415">
        <v>95.163399999999996</v>
      </c>
      <c r="AT415">
        <v>5.9450460994397014</v>
      </c>
      <c r="AU415" s="5">
        <v>71.087059799999992</v>
      </c>
      <c r="AV415" s="5">
        <v>101.53934779999999</v>
      </c>
      <c r="AW415" s="5">
        <v>4.440949436281457</v>
      </c>
      <c r="AX415" s="5">
        <v>6.3433641881021607</v>
      </c>
      <c r="AY415" t="s">
        <v>59</v>
      </c>
      <c r="AZ415" t="s">
        <v>60</v>
      </c>
      <c r="BA415" s="23">
        <f t="shared" si="6"/>
        <v>0</v>
      </c>
      <c r="BB415" s="23">
        <f>IF(AND(ISNUMBER(H415),Metadata!$H$5&gt;Metadata!$G$5),MAX(Metadata!$G$5-H415,0,H415-Metadata!$H$5)/(Metadata!$H$5-Metadata!$G$5),"Missing input")</f>
        <v>0</v>
      </c>
      <c r="BC415" s="23">
        <f>IF(AND(ISNUMBER(L415),Metadata!$H$8&gt;Metadata!$G$8),MAX(Metadata!$G$8-L415,0,L415-Metadata!$H$8)/(Metadata!$H$8-Metadata!$G$8),"Missing input")</f>
        <v>0</v>
      </c>
    </row>
    <row r="416" spans="1:55" x14ac:dyDescent="0.2">
      <c r="A416" t="s">
        <v>502</v>
      </c>
      <c r="B416" t="s">
        <v>488</v>
      </c>
      <c r="C416" t="s">
        <v>466</v>
      </c>
      <c r="D416" t="s">
        <v>55</v>
      </c>
      <c r="E416" t="s">
        <v>467</v>
      </c>
      <c r="F416">
        <v>15</v>
      </c>
      <c r="G416">
        <v>27.308053040943211</v>
      </c>
      <c r="H416">
        <v>5.2772178758296739</v>
      </c>
      <c r="I416">
        <v>1.57</v>
      </c>
      <c r="J416">
        <v>1</v>
      </c>
      <c r="K416">
        <v>0.54</v>
      </c>
      <c r="L416">
        <v>0.25</v>
      </c>
      <c r="N416">
        <v>125</v>
      </c>
      <c r="O416">
        <v>12</v>
      </c>
      <c r="P416">
        <v>8</v>
      </c>
      <c r="Q416">
        <v>0.53616514621265798</v>
      </c>
      <c r="R416">
        <v>386052.96198531118</v>
      </c>
      <c r="S416">
        <v>-2.5551231049820949E-3</v>
      </c>
      <c r="T416">
        <v>543.04182692295763</v>
      </c>
      <c r="U416">
        <v>698.12364149884274</v>
      </c>
      <c r="V416">
        <v>120.1419971068491</v>
      </c>
      <c r="W416">
        <v>5.8108210143865184</v>
      </c>
      <c r="X416" t="s">
        <v>57</v>
      </c>
      <c r="Y416">
        <v>8</v>
      </c>
      <c r="Z416">
        <v>424.64400000000001</v>
      </c>
      <c r="AA416">
        <v>95.163399999999996</v>
      </c>
      <c r="AB416">
        <v>37.809100000000001</v>
      </c>
      <c r="AC416">
        <v>16.905704409799551</v>
      </c>
      <c r="AE416">
        <v>95.163399999999996</v>
      </c>
      <c r="AF416" t="s">
        <v>62</v>
      </c>
      <c r="AG416" t="b">
        <v>0</v>
      </c>
      <c r="AH416">
        <v>5.6290703831801068</v>
      </c>
      <c r="AI416">
        <v>420.625</v>
      </c>
      <c r="AJ416">
        <v>91.310100000000006</v>
      </c>
      <c r="AK416">
        <v>32.289299999999997</v>
      </c>
      <c r="AL416">
        <v>16.240326346021948</v>
      </c>
      <c r="AN416">
        <v>91.310100000000006</v>
      </c>
      <c r="AO416" t="s">
        <v>62</v>
      </c>
      <c r="AP416" t="b">
        <v>0</v>
      </c>
      <c r="AQ416">
        <v>5.6224301195995574</v>
      </c>
      <c r="AR416">
        <v>424.64400000000001</v>
      </c>
      <c r="AS416">
        <v>95.163399999999996</v>
      </c>
      <c r="AT416">
        <v>5.6290703831801068</v>
      </c>
      <c r="AU416" s="5">
        <v>71.087059799999992</v>
      </c>
      <c r="AV416" s="5">
        <v>101.53934779999999</v>
      </c>
      <c r="AW416" s="5">
        <v>4.2049155762355399</v>
      </c>
      <c r="AX416" s="5">
        <v>6.0062180988531733</v>
      </c>
      <c r="AY416" t="s">
        <v>59</v>
      </c>
      <c r="AZ416" t="s">
        <v>60</v>
      </c>
      <c r="BA416" s="23">
        <f t="shared" si="6"/>
        <v>0</v>
      </c>
      <c r="BB416" s="23">
        <f>IF(AND(ISNUMBER(H416),Metadata!$H$5&gt;Metadata!$G$5),MAX(Metadata!$G$5-H416,0,H416-Metadata!$H$5)/(Metadata!$H$5-Metadata!$G$5),"Missing input")</f>
        <v>0</v>
      </c>
      <c r="BC416" s="23">
        <f>IF(AND(ISNUMBER(L416),Metadata!$H$8&gt;Metadata!$G$8),MAX(Metadata!$G$8-L416,0,L416-Metadata!$H$8)/(Metadata!$H$8-Metadata!$G$8),"Missing input")</f>
        <v>0</v>
      </c>
    </row>
    <row r="417" spans="1:55" x14ac:dyDescent="0.2">
      <c r="A417" t="s">
        <v>503</v>
      </c>
      <c r="B417" t="s">
        <v>488</v>
      </c>
      <c r="C417" t="s">
        <v>466</v>
      </c>
      <c r="D417" t="s">
        <v>55</v>
      </c>
      <c r="E417" t="s">
        <v>467</v>
      </c>
      <c r="F417">
        <v>16</v>
      </c>
      <c r="G417">
        <v>31.1252119640606</v>
      </c>
      <c r="H417">
        <v>39.5069074866867</v>
      </c>
      <c r="I417">
        <v>1.57</v>
      </c>
      <c r="J417">
        <v>1</v>
      </c>
      <c r="K417">
        <v>0.54</v>
      </c>
      <c r="L417">
        <v>0.25</v>
      </c>
      <c r="N417">
        <v>125</v>
      </c>
      <c r="O417">
        <v>12</v>
      </c>
      <c r="P417">
        <v>8</v>
      </c>
      <c r="Q417">
        <v>0.53616514621265798</v>
      </c>
      <c r="R417">
        <v>3642703.933702969</v>
      </c>
      <c r="S417">
        <v>-6.0892484425598753E-3</v>
      </c>
      <c r="T417">
        <v>1771.7214982202399</v>
      </c>
      <c r="U417">
        <v>715.72465594585606</v>
      </c>
      <c r="V417">
        <v>391.97378279208851</v>
      </c>
      <c r="W417">
        <v>1.825950324656004</v>
      </c>
      <c r="X417" t="s">
        <v>57</v>
      </c>
      <c r="Y417">
        <v>8</v>
      </c>
      <c r="Z417">
        <v>741.13199999999995</v>
      </c>
      <c r="AA417">
        <v>94.893199999999993</v>
      </c>
      <c r="AB417">
        <v>32.520200000000003</v>
      </c>
      <c r="AC417">
        <v>14.987883792440741</v>
      </c>
      <c r="AD417">
        <v>36.307092783762677</v>
      </c>
      <c r="AE417">
        <v>36.307092783762677</v>
      </c>
      <c r="AF417" t="s">
        <v>58</v>
      </c>
      <c r="AG417" t="b">
        <v>1</v>
      </c>
      <c r="AH417">
        <v>2.4224295628762791</v>
      </c>
      <c r="AI417">
        <v>744.79200000000003</v>
      </c>
      <c r="AJ417">
        <v>90.974899999999991</v>
      </c>
      <c r="AK417">
        <v>32.289299999999997</v>
      </c>
      <c r="AL417">
        <v>14.500906413682531</v>
      </c>
      <c r="AM417">
        <v>32.362066025847852</v>
      </c>
      <c r="AN417">
        <v>32.362066025847852</v>
      </c>
      <c r="AO417" t="s">
        <v>58</v>
      </c>
      <c r="AP417" t="b">
        <v>1</v>
      </c>
      <c r="AQ417">
        <v>2.2317271143348791</v>
      </c>
      <c r="AR417">
        <v>744.79200000000003</v>
      </c>
      <c r="AS417">
        <v>36.307092783762677</v>
      </c>
      <c r="AT417">
        <v>2.4224295628762791</v>
      </c>
      <c r="AU417" s="5">
        <v>27.12139830947072</v>
      </c>
      <c r="AV417" s="5">
        <v>38.739668000274776</v>
      </c>
      <c r="AW417" s="5">
        <v>1.8095548834685804</v>
      </c>
      <c r="AX417" s="5">
        <v>2.5847323435889895</v>
      </c>
      <c r="AY417" t="s">
        <v>59</v>
      </c>
      <c r="AZ417" t="s">
        <v>60</v>
      </c>
      <c r="BA417" s="23">
        <f t="shared" si="6"/>
        <v>0</v>
      </c>
      <c r="BB417" s="23">
        <f>IF(AND(ISNUMBER(H417),Metadata!$H$5&gt;Metadata!$G$5),MAX(Metadata!$G$5-H417,0,H417-Metadata!$H$5)/(Metadata!$H$5-Metadata!$G$5),"Missing input")</f>
        <v>0</v>
      </c>
      <c r="BC417" s="23">
        <f>IF(AND(ISNUMBER(L417),Metadata!$H$8&gt;Metadata!$G$8),MAX(Metadata!$G$8-L417,0,L417-Metadata!$H$8)/(Metadata!$H$8-Metadata!$G$8),"Missing input")</f>
        <v>0</v>
      </c>
    </row>
    <row r="418" spans="1:55" x14ac:dyDescent="0.2">
      <c r="A418" t="s">
        <v>504</v>
      </c>
      <c r="B418" t="s">
        <v>488</v>
      </c>
      <c r="C418" t="s">
        <v>466</v>
      </c>
      <c r="D418" t="s">
        <v>55</v>
      </c>
      <c r="E418" t="s">
        <v>467</v>
      </c>
      <c r="F418">
        <v>17</v>
      </c>
      <c r="G418">
        <v>46.390186033042063</v>
      </c>
      <c r="H418">
        <v>16.21387510983789</v>
      </c>
      <c r="I418">
        <v>1.57</v>
      </c>
      <c r="J418">
        <v>1</v>
      </c>
      <c r="K418">
        <v>0.54</v>
      </c>
      <c r="L418">
        <v>0.25</v>
      </c>
      <c r="N418">
        <v>125</v>
      </c>
      <c r="O418">
        <v>12</v>
      </c>
      <c r="P418">
        <v>8</v>
      </c>
      <c r="Q418">
        <v>0.53616514621265798</v>
      </c>
      <c r="R418">
        <v>2210215.3729856689</v>
      </c>
      <c r="S418">
        <v>-4.1979971436691826E-3</v>
      </c>
      <c r="T418">
        <v>1108.941922700644</v>
      </c>
      <c r="U418">
        <v>777.10568399344538</v>
      </c>
      <c r="V418">
        <v>245.34113334085049</v>
      </c>
      <c r="W418">
        <v>3.167449638026326</v>
      </c>
      <c r="X418" t="s">
        <v>57</v>
      </c>
      <c r="Y418">
        <v>8</v>
      </c>
      <c r="Z418">
        <v>755.46699999999998</v>
      </c>
      <c r="AA418">
        <v>95.163399999999996</v>
      </c>
      <c r="AB418">
        <v>51.296399999999998</v>
      </c>
      <c r="AC418">
        <v>15.82587861129905</v>
      </c>
      <c r="AD418">
        <v>77.957505562977815</v>
      </c>
      <c r="AE418">
        <v>77.957505562977815</v>
      </c>
      <c r="AF418" t="s">
        <v>58</v>
      </c>
      <c r="AG418" t="b">
        <v>1</v>
      </c>
      <c r="AH418">
        <v>4.9259511890429408</v>
      </c>
      <c r="AI418">
        <v>750.24599999999998</v>
      </c>
      <c r="AJ418">
        <v>91.310100000000006</v>
      </c>
      <c r="AK418">
        <v>51.757599999999996</v>
      </c>
      <c r="AL418">
        <v>15.35017660111613</v>
      </c>
      <c r="AM418">
        <v>78.471824361393217</v>
      </c>
      <c r="AN418">
        <v>78.471824361393217</v>
      </c>
      <c r="AO418" t="s">
        <v>58</v>
      </c>
      <c r="AP418" t="b">
        <v>1</v>
      </c>
      <c r="AQ418">
        <v>5.1121121535297149</v>
      </c>
      <c r="AR418">
        <v>755.46699999999998</v>
      </c>
      <c r="AS418">
        <v>78.471824361393217</v>
      </c>
      <c r="AT418">
        <v>5.1121121535297149</v>
      </c>
      <c r="AU418" s="5">
        <v>58.618452797960735</v>
      </c>
      <c r="AV418" s="5">
        <v>83.729436593606565</v>
      </c>
      <c r="AW418" s="5">
        <v>3.818747778686697</v>
      </c>
      <c r="AX418" s="5">
        <v>5.4546236678162057</v>
      </c>
      <c r="AY418" t="s">
        <v>59</v>
      </c>
      <c r="AZ418" t="s">
        <v>60</v>
      </c>
      <c r="BA418" s="23">
        <f t="shared" si="6"/>
        <v>0</v>
      </c>
      <c r="BB418" s="23">
        <f>IF(AND(ISNUMBER(H418),Metadata!$H$5&gt;Metadata!$G$5),MAX(Metadata!$G$5-H418,0,H418-Metadata!$H$5)/(Metadata!$H$5-Metadata!$G$5),"Missing input")</f>
        <v>0</v>
      </c>
      <c r="BC418" s="23">
        <f>IF(AND(ISNUMBER(L418),Metadata!$H$8&gt;Metadata!$G$8),MAX(Metadata!$G$8-L418,0,L418-Metadata!$H$8)/(Metadata!$H$8-Metadata!$G$8),"Missing input")</f>
        <v>0</v>
      </c>
    </row>
    <row r="419" spans="1:55" x14ac:dyDescent="0.2">
      <c r="A419" t="s">
        <v>505</v>
      </c>
      <c r="B419" t="s">
        <v>488</v>
      </c>
      <c r="C419" t="s">
        <v>466</v>
      </c>
      <c r="D419" t="s">
        <v>55</v>
      </c>
      <c r="E419" t="s">
        <v>467</v>
      </c>
      <c r="F419">
        <v>18</v>
      </c>
      <c r="G419">
        <v>54.165408264435399</v>
      </c>
      <c r="H419">
        <v>18.25275816413232</v>
      </c>
      <c r="I419">
        <v>1.57</v>
      </c>
      <c r="J419">
        <v>1</v>
      </c>
      <c r="K419">
        <v>0.54</v>
      </c>
      <c r="L419">
        <v>0.25</v>
      </c>
      <c r="N419">
        <v>125</v>
      </c>
      <c r="O419">
        <v>12</v>
      </c>
      <c r="P419">
        <v>8</v>
      </c>
      <c r="Q419">
        <v>0.53616514621265798</v>
      </c>
      <c r="R419">
        <v>2919725.6187367002</v>
      </c>
      <c r="S419">
        <v>-4.495481670562196E-3</v>
      </c>
      <c r="T419">
        <v>1366.8716806936311</v>
      </c>
      <c r="U419">
        <v>804.44140245145684</v>
      </c>
      <c r="V419">
        <v>302.40523909151131</v>
      </c>
      <c r="W419">
        <v>2.6601437358299989</v>
      </c>
      <c r="X419" t="s">
        <v>57</v>
      </c>
      <c r="Y419">
        <v>8</v>
      </c>
      <c r="Z419">
        <v>877.65099999999995</v>
      </c>
      <c r="AA419">
        <v>95.163399999999996</v>
      </c>
      <c r="AB419">
        <v>51.296399999999998</v>
      </c>
      <c r="AC419">
        <v>15.72643241020223</v>
      </c>
      <c r="AD419">
        <v>71.444557519496982</v>
      </c>
      <c r="AE419">
        <v>71.444557519496982</v>
      </c>
      <c r="AF419" t="s">
        <v>58</v>
      </c>
      <c r="AG419" t="b">
        <v>1</v>
      </c>
      <c r="AH419">
        <v>4.5429602630758543</v>
      </c>
      <c r="AI419">
        <v>872.303</v>
      </c>
      <c r="AJ419">
        <v>91.310100000000006</v>
      </c>
      <c r="AK419">
        <v>51.757599999999996</v>
      </c>
      <c r="AL419">
        <v>15.38299436485196</v>
      </c>
      <c r="AM419">
        <v>71.156639216796592</v>
      </c>
      <c r="AN419">
        <v>71.156639216796592</v>
      </c>
      <c r="AO419" t="s">
        <v>58</v>
      </c>
      <c r="AP419" t="b">
        <v>1</v>
      </c>
      <c r="AQ419">
        <v>4.6256689386417369</v>
      </c>
      <c r="AR419">
        <v>877.65099999999995</v>
      </c>
      <c r="AS419">
        <v>71.444557519496982</v>
      </c>
      <c r="AT419">
        <v>4.6256689386417369</v>
      </c>
      <c r="AU419" s="5">
        <v>53.369084467064248</v>
      </c>
      <c r="AV419" s="5">
        <v>76.231342873303277</v>
      </c>
      <c r="AW419" s="5">
        <v>3.4553746971653774</v>
      </c>
      <c r="AX419" s="5">
        <v>4.9355887575307333</v>
      </c>
      <c r="AY419" t="s">
        <v>59</v>
      </c>
      <c r="AZ419" t="s">
        <v>60</v>
      </c>
      <c r="BA419" s="23">
        <f t="shared" si="6"/>
        <v>0</v>
      </c>
      <c r="BB419" s="23">
        <f>IF(AND(ISNUMBER(H419),Metadata!$H$5&gt;Metadata!$G$5),MAX(Metadata!$G$5-H419,0,H419-Metadata!$H$5)/(Metadata!$H$5-Metadata!$G$5),"Missing input")</f>
        <v>0</v>
      </c>
      <c r="BC419" s="23">
        <f>IF(AND(ISNUMBER(L419),Metadata!$H$8&gt;Metadata!$G$8),MAX(Metadata!$G$8-L419,0,L419-Metadata!$H$8)/(Metadata!$H$8-Metadata!$G$8),"Missing input")</f>
        <v>0</v>
      </c>
    </row>
    <row r="420" spans="1:55" x14ac:dyDescent="0.2">
      <c r="A420" t="s">
        <v>506</v>
      </c>
      <c r="B420" t="s">
        <v>488</v>
      </c>
      <c r="C420" t="s">
        <v>466</v>
      </c>
      <c r="D420" t="s">
        <v>55</v>
      </c>
      <c r="E420" t="s">
        <v>467</v>
      </c>
      <c r="F420">
        <v>19</v>
      </c>
      <c r="G420">
        <v>21.707483118551171</v>
      </c>
      <c r="H420">
        <v>43.497365085878002</v>
      </c>
      <c r="I420">
        <v>1.57</v>
      </c>
      <c r="J420">
        <v>1</v>
      </c>
      <c r="K420">
        <v>0.54</v>
      </c>
      <c r="L420">
        <v>0.25</v>
      </c>
      <c r="N420">
        <v>125</v>
      </c>
      <c r="O420">
        <v>12</v>
      </c>
      <c r="P420">
        <v>8</v>
      </c>
      <c r="Q420">
        <v>0.53616514621265798</v>
      </c>
      <c r="R420">
        <v>2786376.2799094608</v>
      </c>
      <c r="S420">
        <v>-6.0745806254042523E-3</v>
      </c>
      <c r="T420">
        <v>1441.765375327039</v>
      </c>
      <c r="U420">
        <v>669.89609780516332</v>
      </c>
      <c r="V420">
        <v>318.97464055907949</v>
      </c>
      <c r="W420">
        <v>2.100154722742253</v>
      </c>
      <c r="X420" t="s">
        <v>57</v>
      </c>
      <c r="Y420">
        <v>8</v>
      </c>
      <c r="Z420">
        <v>592.01</v>
      </c>
      <c r="AA420">
        <v>95.163399999999996</v>
      </c>
      <c r="AB420">
        <v>31.0091</v>
      </c>
      <c r="AC420">
        <v>14.95291570263975</v>
      </c>
      <c r="AD420">
        <v>34.986396060674657</v>
      </c>
      <c r="AE420">
        <v>34.986396060674657</v>
      </c>
      <c r="AF420" t="s">
        <v>58</v>
      </c>
      <c r="AG420" t="b">
        <v>1</v>
      </c>
      <c r="AH420">
        <v>2.3397708350952748</v>
      </c>
      <c r="AI420">
        <v>600.48599999999999</v>
      </c>
      <c r="AJ420">
        <v>91.310100000000006</v>
      </c>
      <c r="AK420">
        <v>32.074900000000007</v>
      </c>
      <c r="AL420">
        <v>14.686292805755389</v>
      </c>
      <c r="AM420">
        <v>33.867632414954528</v>
      </c>
      <c r="AN420">
        <v>33.867632414954528</v>
      </c>
      <c r="AO420" t="s">
        <v>58</v>
      </c>
      <c r="AP420" t="b">
        <v>1</v>
      </c>
      <c r="AQ420">
        <v>2.306070896372308</v>
      </c>
      <c r="AR420">
        <v>600.48599999999999</v>
      </c>
      <c r="AS420">
        <v>34.986396060674657</v>
      </c>
      <c r="AT420">
        <v>2.3397708350952748</v>
      </c>
      <c r="AU420" s="5">
        <v>26.134837857323969</v>
      </c>
      <c r="AV420" s="5">
        <v>37.330484596739858</v>
      </c>
      <c r="AW420" s="5">
        <v>1.7478088138161703</v>
      </c>
      <c r="AX420" s="5">
        <v>2.4965354810466582</v>
      </c>
      <c r="AY420" t="s">
        <v>64</v>
      </c>
      <c r="AZ420" t="s">
        <v>7</v>
      </c>
      <c r="BA420" s="23">
        <f t="shared" si="6"/>
        <v>9.4596678167087334E-2</v>
      </c>
      <c r="BB420" s="23">
        <f>IF(AND(ISNUMBER(H420),Metadata!$H$5&gt;Metadata!$G$5),MAX(Metadata!$G$5-H420,0,H420-Metadata!$H$5)/(Metadata!$H$5-Metadata!$G$5),"Missing input")</f>
        <v>9.4596678167087334E-2</v>
      </c>
      <c r="BC420" s="23">
        <f>IF(AND(ISNUMBER(L420),Metadata!$H$8&gt;Metadata!$G$8),MAX(Metadata!$G$8-L420,0,L420-Metadata!$H$8)/(Metadata!$H$8-Metadata!$G$8),"Missing input")</f>
        <v>0</v>
      </c>
    </row>
    <row r="421" spans="1:55" x14ac:dyDescent="0.2">
      <c r="A421" t="s">
        <v>507</v>
      </c>
      <c r="B421" t="s">
        <v>488</v>
      </c>
      <c r="C421" t="s">
        <v>466</v>
      </c>
      <c r="D421" t="s">
        <v>55</v>
      </c>
      <c r="E421" t="s">
        <v>467</v>
      </c>
      <c r="F421">
        <v>20</v>
      </c>
      <c r="G421">
        <v>53.035991243371583</v>
      </c>
      <c r="H421">
        <v>30.34654288470276</v>
      </c>
      <c r="I421">
        <v>1.57</v>
      </c>
      <c r="J421">
        <v>1</v>
      </c>
      <c r="K421">
        <v>0.54</v>
      </c>
      <c r="L421">
        <v>0.25</v>
      </c>
      <c r="N421">
        <v>125</v>
      </c>
      <c r="O421">
        <v>12</v>
      </c>
      <c r="P421">
        <v>8</v>
      </c>
      <c r="Q421">
        <v>0.53616514621265798</v>
      </c>
      <c r="R421">
        <v>4782098.2730990862</v>
      </c>
      <c r="S421">
        <v>-5.7765696539328736E-3</v>
      </c>
      <c r="T421">
        <v>2179.2539350953052</v>
      </c>
      <c r="U421">
        <v>800.59853302729891</v>
      </c>
      <c r="V421">
        <v>482.13582634851878</v>
      </c>
      <c r="W421">
        <v>1.6605248755121029</v>
      </c>
      <c r="X421" t="s">
        <v>57</v>
      </c>
      <c r="Y421">
        <v>8</v>
      </c>
      <c r="Z421">
        <v>1037.93</v>
      </c>
      <c r="AA421">
        <v>95.163399999999996</v>
      </c>
      <c r="AB421">
        <v>37.809100000000001</v>
      </c>
      <c r="AC421">
        <v>15.80206554443054</v>
      </c>
      <c r="AD421">
        <v>44.457535205586893</v>
      </c>
      <c r="AE421">
        <v>44.457535205586893</v>
      </c>
      <c r="AF421" t="s">
        <v>58</v>
      </c>
      <c r="AG421" t="b">
        <v>1</v>
      </c>
      <c r="AH421">
        <v>2.8134002533141</v>
      </c>
      <c r="AI421">
        <v>1039.18</v>
      </c>
      <c r="AJ421">
        <v>91.310100000000006</v>
      </c>
      <c r="AK421">
        <v>39.0974</v>
      </c>
      <c r="AL421">
        <v>15.469012497417889</v>
      </c>
      <c r="AM421">
        <v>43.316070330665632</v>
      </c>
      <c r="AN421">
        <v>43.316070330665632</v>
      </c>
      <c r="AO421" t="s">
        <v>58</v>
      </c>
      <c r="AP421" t="b">
        <v>1</v>
      </c>
      <c r="AQ421">
        <v>2.8001832914606548</v>
      </c>
      <c r="AR421">
        <v>1039.18</v>
      </c>
      <c r="AS421">
        <v>44.457535205586893</v>
      </c>
      <c r="AT421">
        <v>2.8134002533141</v>
      </c>
      <c r="AU421" s="5">
        <v>33.20977879857341</v>
      </c>
      <c r="AV421" s="5">
        <v>47.436190064361213</v>
      </c>
      <c r="AW421" s="5">
        <v>2.1016099892256328</v>
      </c>
      <c r="AX421" s="5">
        <v>3.0018980702861446</v>
      </c>
      <c r="AY421" t="s">
        <v>59</v>
      </c>
      <c r="AZ421" t="s">
        <v>60</v>
      </c>
      <c r="BA421" s="23">
        <f t="shared" si="6"/>
        <v>0</v>
      </c>
      <c r="BB421" s="23">
        <f>IF(AND(ISNUMBER(H421),Metadata!$H$5&gt;Metadata!$G$5),MAX(Metadata!$G$5-H421,0,H421-Metadata!$H$5)/(Metadata!$H$5-Metadata!$G$5),"Missing input")</f>
        <v>0</v>
      </c>
      <c r="BC421" s="23">
        <f>IF(AND(ISNUMBER(L421),Metadata!$H$8&gt;Metadata!$G$8),MAX(Metadata!$G$8-L421,0,L421-Metadata!$H$8)/(Metadata!$H$8-Metadata!$G$8),"Missing input")</f>
        <v>0</v>
      </c>
    </row>
    <row r="422" spans="1:55" x14ac:dyDescent="0.2">
      <c r="A422" t="s">
        <v>508</v>
      </c>
      <c r="B422" t="s">
        <v>509</v>
      </c>
      <c r="C422" t="s">
        <v>466</v>
      </c>
      <c r="D422" t="s">
        <v>55</v>
      </c>
      <c r="E422" t="s">
        <v>467</v>
      </c>
      <c r="F422">
        <v>1</v>
      </c>
      <c r="G422">
        <v>22.11413992487228</v>
      </c>
      <c r="H422">
        <v>28.832065765515338</v>
      </c>
      <c r="I422">
        <v>1.36</v>
      </c>
      <c r="J422">
        <v>1.25</v>
      </c>
      <c r="K422">
        <v>0.54</v>
      </c>
      <c r="L422">
        <v>0.25</v>
      </c>
      <c r="N422">
        <v>125</v>
      </c>
      <c r="O422">
        <v>10</v>
      </c>
      <c r="P422">
        <v>10</v>
      </c>
      <c r="Q422">
        <v>0.53616514621265798</v>
      </c>
      <c r="R422">
        <v>1866510.334985178</v>
      </c>
      <c r="S422">
        <v>-5.4499738134399719E-3</v>
      </c>
      <c r="T422">
        <v>987.18911502339654</v>
      </c>
      <c r="U422">
        <v>672.06023102885479</v>
      </c>
      <c r="V422">
        <v>218.40467146535329</v>
      </c>
      <c r="W422">
        <v>3.0771330417054168</v>
      </c>
      <c r="X422" t="s">
        <v>57</v>
      </c>
      <c r="Y422">
        <v>8</v>
      </c>
      <c r="Z422">
        <v>561.52</v>
      </c>
      <c r="AA422">
        <v>95.163399999999996</v>
      </c>
      <c r="AB422">
        <v>37.809100000000001</v>
      </c>
      <c r="AC422">
        <v>16.077525576140989</v>
      </c>
      <c r="AD422">
        <v>45.143849781478423</v>
      </c>
      <c r="AE422">
        <v>45.143849781478423</v>
      </c>
      <c r="AF422" t="s">
        <v>58</v>
      </c>
      <c r="AG422" t="b">
        <v>1</v>
      </c>
      <c r="AH422">
        <v>2.8078854278715499</v>
      </c>
      <c r="AI422">
        <v>558.62199999999996</v>
      </c>
      <c r="AJ422">
        <v>91.310100000000006</v>
      </c>
      <c r="AK422">
        <v>38.051000000000002</v>
      </c>
      <c r="AL422">
        <v>15.666956744271991</v>
      </c>
      <c r="AM422">
        <v>44.913718186024987</v>
      </c>
      <c r="AN422">
        <v>44.913718186024987</v>
      </c>
      <c r="AO422" t="s">
        <v>58</v>
      </c>
      <c r="AP422" t="b">
        <v>1</v>
      </c>
      <c r="AQ422">
        <v>2.8667799955754609</v>
      </c>
      <c r="AR422">
        <v>561.52</v>
      </c>
      <c r="AS422">
        <v>45.143849781478423</v>
      </c>
      <c r="AT422">
        <v>2.8667799955754609</v>
      </c>
      <c r="AU422" s="5">
        <v>33.722455786764378</v>
      </c>
      <c r="AV422" s="5">
        <v>48.168487716837475</v>
      </c>
      <c r="AW422" s="5">
        <v>2.1414846566948693</v>
      </c>
      <c r="AX422" s="5">
        <v>3.0588542552790168</v>
      </c>
      <c r="AY422" t="s">
        <v>59</v>
      </c>
      <c r="AZ422" t="s">
        <v>60</v>
      </c>
      <c r="BA422" s="23">
        <f t="shared" si="6"/>
        <v>0</v>
      </c>
      <c r="BB422" s="23">
        <f>IF(AND(ISNUMBER(H422),Metadata!$H$5&gt;Metadata!$G$5),MAX(Metadata!$G$5-H422,0,H422-Metadata!$H$5)/(Metadata!$H$5-Metadata!$G$5),"Missing input")</f>
        <v>0</v>
      </c>
      <c r="BC422" s="23">
        <f>IF(AND(ISNUMBER(L422),Metadata!$H$8&gt;Metadata!$G$8),MAX(Metadata!$G$8-L422,0,L422-Metadata!$H$8)/(Metadata!$H$8-Metadata!$G$8),"Missing input")</f>
        <v>0</v>
      </c>
    </row>
    <row r="423" spans="1:55" x14ac:dyDescent="0.2">
      <c r="A423" t="s">
        <v>510</v>
      </c>
      <c r="B423" t="s">
        <v>509</v>
      </c>
      <c r="C423" t="s">
        <v>466</v>
      </c>
      <c r="D423" t="s">
        <v>55</v>
      </c>
      <c r="E423" t="s">
        <v>467</v>
      </c>
      <c r="F423">
        <v>2</v>
      </c>
      <c r="G423">
        <v>39.289372610104301</v>
      </c>
      <c r="H423">
        <v>11.43599740060767</v>
      </c>
      <c r="I423">
        <v>1.36</v>
      </c>
      <c r="J423">
        <v>1.25</v>
      </c>
      <c r="K423">
        <v>0.54</v>
      </c>
      <c r="L423">
        <v>0.25</v>
      </c>
      <c r="N423">
        <v>125</v>
      </c>
      <c r="O423">
        <v>10</v>
      </c>
      <c r="P423">
        <v>10</v>
      </c>
      <c r="Q423">
        <v>0.53616514621265798</v>
      </c>
      <c r="R423">
        <v>1301660.814121977</v>
      </c>
      <c r="S423">
        <v>-3.3762724605663889E-3</v>
      </c>
      <c r="T423">
        <v>738.17418914387622</v>
      </c>
      <c r="U423">
        <v>750.05745558684532</v>
      </c>
      <c r="V423">
        <v>163.31287370439739</v>
      </c>
      <c r="W423">
        <v>4.5927638071232408</v>
      </c>
      <c r="X423" t="s">
        <v>57</v>
      </c>
      <c r="Y423">
        <v>8</v>
      </c>
      <c r="Z423">
        <v>577.54899999999998</v>
      </c>
      <c r="AA423">
        <v>95.163399999999996</v>
      </c>
      <c r="AB423">
        <v>51.296399999999998</v>
      </c>
      <c r="AC423">
        <v>15.426052557722929</v>
      </c>
      <c r="AE423">
        <v>95.163399999999996</v>
      </c>
      <c r="AF423" t="s">
        <v>62</v>
      </c>
      <c r="AG423" t="b">
        <v>0</v>
      </c>
      <c r="AH423">
        <v>6.1690053008640371</v>
      </c>
      <c r="AI423">
        <v>572.74699999999996</v>
      </c>
      <c r="AJ423">
        <v>91.310100000000006</v>
      </c>
      <c r="AK423">
        <v>51.757599999999996</v>
      </c>
      <c r="AL423">
        <v>14.8937637137059</v>
      </c>
      <c r="AN423">
        <v>91.310100000000006</v>
      </c>
      <c r="AO423" t="s">
        <v>62</v>
      </c>
      <c r="AP423" t="b">
        <v>0</v>
      </c>
      <c r="AQ423">
        <v>6.1307606160001331</v>
      </c>
      <c r="AR423">
        <v>577.54899999999998</v>
      </c>
      <c r="AS423">
        <v>95.163399999999996</v>
      </c>
      <c r="AT423">
        <v>6.1690053008640371</v>
      </c>
      <c r="AU423" s="5">
        <v>71.087059799999992</v>
      </c>
      <c r="AV423" s="5">
        <v>101.53934779999999</v>
      </c>
      <c r="AW423" s="5">
        <v>4.6082469597454354</v>
      </c>
      <c r="AX423" s="5">
        <v>6.582328656021927</v>
      </c>
      <c r="AY423" t="s">
        <v>59</v>
      </c>
      <c r="AZ423" t="s">
        <v>60</v>
      </c>
      <c r="BA423" s="23">
        <f t="shared" si="6"/>
        <v>0</v>
      </c>
      <c r="BB423" s="23">
        <f>IF(AND(ISNUMBER(H423),Metadata!$H$5&gt;Metadata!$G$5),MAX(Metadata!$G$5-H423,0,H423-Metadata!$H$5)/(Metadata!$H$5-Metadata!$G$5),"Missing input")</f>
        <v>0</v>
      </c>
      <c r="BC423" s="23">
        <f>IF(AND(ISNUMBER(L423),Metadata!$H$8&gt;Metadata!$G$8),MAX(Metadata!$G$8-L423,0,L423-Metadata!$H$8)/(Metadata!$H$8-Metadata!$G$8),"Missing input")</f>
        <v>0</v>
      </c>
    </row>
    <row r="424" spans="1:55" x14ac:dyDescent="0.2">
      <c r="A424" t="s">
        <v>511</v>
      </c>
      <c r="B424" t="s">
        <v>509</v>
      </c>
      <c r="C424" t="s">
        <v>466</v>
      </c>
      <c r="D424" t="s">
        <v>55</v>
      </c>
      <c r="E424" t="s">
        <v>467</v>
      </c>
      <c r="F424">
        <v>3</v>
      </c>
      <c r="G424">
        <v>50.720967279676117</v>
      </c>
      <c r="H424">
        <v>41.572102032205443</v>
      </c>
      <c r="I424">
        <v>1.36</v>
      </c>
      <c r="J424">
        <v>1.25</v>
      </c>
      <c r="K424">
        <v>0.54</v>
      </c>
      <c r="L424">
        <v>0.25</v>
      </c>
      <c r="N424">
        <v>125</v>
      </c>
      <c r="O424">
        <v>10</v>
      </c>
      <c r="P424">
        <v>10</v>
      </c>
      <c r="Q424">
        <v>0.53616514621265798</v>
      </c>
      <c r="R424">
        <v>6279453.0057685468</v>
      </c>
      <c r="S424">
        <v>-5.8174126717302219E-3</v>
      </c>
      <c r="T424">
        <v>2851.333493254097</v>
      </c>
      <c r="U424">
        <v>792.59154081609961</v>
      </c>
      <c r="V424">
        <v>630.82599408276485</v>
      </c>
      <c r="W424">
        <v>1.2564344973902759</v>
      </c>
      <c r="X424" t="s">
        <v>57</v>
      </c>
      <c r="Y424">
        <v>8</v>
      </c>
      <c r="Z424">
        <v>1039.07</v>
      </c>
      <c r="AA424">
        <v>95.163399999999996</v>
      </c>
      <c r="AB424">
        <v>30.0017</v>
      </c>
      <c r="AC424">
        <v>14.18832347276869</v>
      </c>
      <c r="AD424">
        <v>31.88801159356305</v>
      </c>
      <c r="AE424">
        <v>31.88801159356305</v>
      </c>
      <c r="AF424" t="s">
        <v>58</v>
      </c>
      <c r="AG424" t="b">
        <v>1</v>
      </c>
      <c r="AH424">
        <v>2.2474827032781541</v>
      </c>
      <c r="AI424">
        <v>1046.98</v>
      </c>
      <c r="AJ424">
        <v>91.310100000000006</v>
      </c>
      <c r="AK424">
        <v>30.788900000000002</v>
      </c>
      <c r="AL424">
        <v>13.4673512945265</v>
      </c>
      <c r="AM424">
        <v>32.29196583138927</v>
      </c>
      <c r="AN424">
        <v>32.29196583138927</v>
      </c>
      <c r="AO424" t="s">
        <v>58</v>
      </c>
      <c r="AP424" t="b">
        <v>1</v>
      </c>
      <c r="AQ424">
        <v>2.3977963539507292</v>
      </c>
      <c r="AR424">
        <v>1046.98</v>
      </c>
      <c r="AS424">
        <v>32.29196583138927</v>
      </c>
      <c r="AT424">
        <v>2.3977963539507292</v>
      </c>
      <c r="AU424" s="5">
        <v>24.122098476047785</v>
      </c>
      <c r="AV424" s="5">
        <v>34.455527542092348</v>
      </c>
      <c r="AW424" s="5">
        <v>1.7911538764011947</v>
      </c>
      <c r="AX424" s="5">
        <v>2.558448709665428</v>
      </c>
      <c r="AY424" t="s">
        <v>64</v>
      </c>
      <c r="AZ424" t="s">
        <v>7</v>
      </c>
      <c r="BA424" s="23">
        <f t="shared" si="6"/>
        <v>4.6063612035701466E-2</v>
      </c>
      <c r="BB424" s="23">
        <f>IF(AND(ISNUMBER(H424),Metadata!$H$5&gt;Metadata!$G$5),MAX(Metadata!$G$5-H424,0,H424-Metadata!$H$5)/(Metadata!$H$5-Metadata!$G$5),"Missing input")</f>
        <v>4.6063612035701466E-2</v>
      </c>
      <c r="BC424" s="23">
        <f>IF(AND(ISNUMBER(L424),Metadata!$H$8&gt;Metadata!$G$8),MAX(Metadata!$G$8-L424,0,L424-Metadata!$H$8)/(Metadata!$H$8-Metadata!$G$8),"Missing input")</f>
        <v>0</v>
      </c>
    </row>
    <row r="425" spans="1:55" x14ac:dyDescent="0.2">
      <c r="A425" t="s">
        <v>512</v>
      </c>
      <c r="B425" t="s">
        <v>509</v>
      </c>
      <c r="C425" t="s">
        <v>466</v>
      </c>
      <c r="D425" t="s">
        <v>55</v>
      </c>
      <c r="E425" t="s">
        <v>467</v>
      </c>
      <c r="F425">
        <v>4</v>
      </c>
      <c r="G425">
        <v>40.065365059576777</v>
      </c>
      <c r="H425">
        <v>25.23064360495534</v>
      </c>
      <c r="I425">
        <v>1.36</v>
      </c>
      <c r="J425">
        <v>1.25</v>
      </c>
      <c r="K425">
        <v>0.54</v>
      </c>
      <c r="L425">
        <v>0.25</v>
      </c>
      <c r="N425">
        <v>125</v>
      </c>
      <c r="O425">
        <v>10</v>
      </c>
      <c r="P425">
        <v>10</v>
      </c>
      <c r="Q425">
        <v>0.53616514621265798</v>
      </c>
      <c r="R425">
        <v>2986346.165161836</v>
      </c>
      <c r="S425">
        <v>-5.1579479128504406E-3</v>
      </c>
      <c r="T425">
        <v>1379.1159302863639</v>
      </c>
      <c r="U425">
        <v>753.12627800274458</v>
      </c>
      <c r="V425">
        <v>305.11414386866471</v>
      </c>
      <c r="W425">
        <v>2.468342727261196</v>
      </c>
      <c r="X425" t="s">
        <v>57</v>
      </c>
      <c r="Y425">
        <v>8</v>
      </c>
      <c r="Z425">
        <v>789.45399999999995</v>
      </c>
      <c r="AA425">
        <v>95.163399999999996</v>
      </c>
      <c r="AB425">
        <v>42.220700000000001</v>
      </c>
      <c r="AC425">
        <v>15.44254036864829</v>
      </c>
      <c r="AD425">
        <v>50.228392410369338</v>
      </c>
      <c r="AE425">
        <v>50.228392410369338</v>
      </c>
      <c r="AF425" t="s">
        <v>58</v>
      </c>
      <c r="AG425" t="b">
        <v>1</v>
      </c>
      <c r="AH425">
        <v>3.2525990679839101</v>
      </c>
      <c r="AI425">
        <v>786.03099999999995</v>
      </c>
      <c r="AJ425">
        <v>91.310100000000006</v>
      </c>
      <c r="AK425">
        <v>39.358900000000013</v>
      </c>
      <c r="AL425">
        <v>15.11266177897574</v>
      </c>
      <c r="AM425">
        <v>50.643833517517983</v>
      </c>
      <c r="AN425">
        <v>50.643833517517983</v>
      </c>
      <c r="AO425" t="s">
        <v>58</v>
      </c>
      <c r="AP425" t="b">
        <v>1</v>
      </c>
      <c r="AQ425">
        <v>3.3510862783928701</v>
      </c>
      <c r="AR425">
        <v>789.45399999999995</v>
      </c>
      <c r="AS425">
        <v>50.643833517517983</v>
      </c>
      <c r="AT425">
        <v>3.3510862783928701</v>
      </c>
      <c r="AU425" s="5">
        <v>37.830943637585932</v>
      </c>
      <c r="AV425" s="5">
        <v>54.036970363191685</v>
      </c>
      <c r="AW425" s="5">
        <v>2.5032614499594739</v>
      </c>
      <c r="AX425" s="5">
        <v>3.5756090590451923</v>
      </c>
      <c r="AY425" t="s">
        <v>59</v>
      </c>
      <c r="AZ425" t="s">
        <v>60</v>
      </c>
      <c r="BA425" s="23">
        <f t="shared" si="6"/>
        <v>0</v>
      </c>
      <c r="BB425" s="23">
        <f>IF(AND(ISNUMBER(H425),Metadata!$H$5&gt;Metadata!$G$5),MAX(Metadata!$G$5-H425,0,H425-Metadata!$H$5)/(Metadata!$H$5-Metadata!$G$5),"Missing input")</f>
        <v>0</v>
      </c>
      <c r="BC425" s="23">
        <f>IF(AND(ISNUMBER(L425),Metadata!$H$8&gt;Metadata!$G$8),MAX(Metadata!$G$8-L425,0,L425-Metadata!$H$8)/(Metadata!$H$8-Metadata!$G$8),"Missing input")</f>
        <v>0</v>
      </c>
    </row>
    <row r="426" spans="1:55" x14ac:dyDescent="0.2">
      <c r="A426" t="s">
        <v>513</v>
      </c>
      <c r="B426" t="s">
        <v>509</v>
      </c>
      <c r="C426" t="s">
        <v>466</v>
      </c>
      <c r="D426" t="s">
        <v>55</v>
      </c>
      <c r="E426" t="s">
        <v>467</v>
      </c>
      <c r="F426">
        <v>5</v>
      </c>
      <c r="G426">
        <v>44.691650234033148</v>
      </c>
      <c r="H426">
        <v>35.278860063057749</v>
      </c>
      <c r="I426">
        <v>1.36</v>
      </c>
      <c r="J426">
        <v>1.25</v>
      </c>
      <c r="K426">
        <v>0.54</v>
      </c>
      <c r="L426">
        <v>0.25</v>
      </c>
      <c r="N426">
        <v>125</v>
      </c>
      <c r="O426">
        <v>10</v>
      </c>
      <c r="P426">
        <v>10</v>
      </c>
      <c r="Q426">
        <v>0.53616514621265798</v>
      </c>
      <c r="R426">
        <v>4683732.748780732</v>
      </c>
      <c r="S426">
        <v>-5.7552726728451187E-3</v>
      </c>
      <c r="T426">
        <v>2117.737265589064</v>
      </c>
      <c r="U426">
        <v>770.83560231362162</v>
      </c>
      <c r="V426">
        <v>468.52594371439483</v>
      </c>
      <c r="W426">
        <v>1.6452356857820229</v>
      </c>
      <c r="X426" t="s">
        <v>57</v>
      </c>
      <c r="Y426">
        <v>8</v>
      </c>
      <c r="Z426">
        <v>928.31200000000001</v>
      </c>
      <c r="AA426">
        <v>95.163399999999996</v>
      </c>
      <c r="AB426">
        <v>34.031300000000002</v>
      </c>
      <c r="AC426">
        <v>14.69692305900621</v>
      </c>
      <c r="AD426">
        <v>37.686476438041169</v>
      </c>
      <c r="AE426">
        <v>37.686476438041169</v>
      </c>
      <c r="AF426" t="s">
        <v>58</v>
      </c>
      <c r="AG426" t="b">
        <v>1</v>
      </c>
      <c r="AH426">
        <v>2.5642426164126269</v>
      </c>
      <c r="AI426">
        <v>925.38099999999997</v>
      </c>
      <c r="AJ426">
        <v>91.310100000000006</v>
      </c>
      <c r="AK426">
        <v>32.289299999999997</v>
      </c>
      <c r="AL426">
        <v>14.07121233933162</v>
      </c>
      <c r="AM426">
        <v>37.131252379213826</v>
      </c>
      <c r="AN426">
        <v>37.131252379213826</v>
      </c>
      <c r="AO426" t="s">
        <v>58</v>
      </c>
      <c r="AP426" t="b">
        <v>1</v>
      </c>
      <c r="AQ426">
        <v>2.6388097545387161</v>
      </c>
      <c r="AR426">
        <v>928.31200000000001</v>
      </c>
      <c r="AS426">
        <v>37.686476438041169</v>
      </c>
      <c r="AT426">
        <v>2.6388097545387161</v>
      </c>
      <c r="AU426" s="5">
        <v>28.151797899216753</v>
      </c>
      <c r="AV426" s="5">
        <v>40.211470359389928</v>
      </c>
      <c r="AW426" s="5">
        <v>1.9711908866404209</v>
      </c>
      <c r="AX426" s="5">
        <v>2.8156100080928099</v>
      </c>
      <c r="AY426" t="s">
        <v>59</v>
      </c>
      <c r="AZ426" t="s">
        <v>60</v>
      </c>
      <c r="BA426" s="23">
        <f t="shared" si="6"/>
        <v>0</v>
      </c>
      <c r="BB426" s="23">
        <f>IF(AND(ISNUMBER(H426),Metadata!$H$5&gt;Metadata!$G$5),MAX(Metadata!$G$5-H426,0,H426-Metadata!$H$5)/(Metadata!$H$5-Metadata!$G$5),"Missing input")</f>
        <v>0</v>
      </c>
      <c r="BC426" s="23">
        <f>IF(AND(ISNUMBER(L426),Metadata!$H$8&gt;Metadata!$G$8),MAX(Metadata!$G$8-L426,0,L426-Metadata!$H$8)/(Metadata!$H$8-Metadata!$G$8),"Missing input")</f>
        <v>0</v>
      </c>
    </row>
    <row r="427" spans="1:55" x14ac:dyDescent="0.2">
      <c r="A427" t="s">
        <v>514</v>
      </c>
      <c r="B427" t="s">
        <v>509</v>
      </c>
      <c r="C427" t="s">
        <v>466</v>
      </c>
      <c r="D427" t="s">
        <v>55</v>
      </c>
      <c r="E427" t="s">
        <v>467</v>
      </c>
      <c r="F427">
        <v>6</v>
      </c>
      <c r="G427">
        <v>33.086500490231572</v>
      </c>
      <c r="H427">
        <v>19.79580616436397</v>
      </c>
      <c r="I427">
        <v>1.36</v>
      </c>
      <c r="J427">
        <v>1.25</v>
      </c>
      <c r="K427">
        <v>0.54</v>
      </c>
      <c r="L427">
        <v>0.25</v>
      </c>
      <c r="N427">
        <v>125</v>
      </c>
      <c r="O427">
        <v>10</v>
      </c>
      <c r="P427">
        <v>10</v>
      </c>
      <c r="Q427">
        <v>0.53616514621265798</v>
      </c>
      <c r="R427">
        <v>1918643.176085273</v>
      </c>
      <c r="S427">
        <v>-4.5553753391215862E-3</v>
      </c>
      <c r="T427">
        <v>970.79619044551498</v>
      </c>
      <c r="U427">
        <v>724.34809556380162</v>
      </c>
      <c r="V427">
        <v>214.77791824015819</v>
      </c>
      <c r="W427">
        <v>3.3725445404208521</v>
      </c>
      <c r="X427" t="s">
        <v>57</v>
      </c>
      <c r="Y427">
        <v>8</v>
      </c>
      <c r="Z427">
        <v>637.65300000000002</v>
      </c>
      <c r="AA427">
        <v>95.050300000000007</v>
      </c>
      <c r="AB427">
        <v>37.809100000000001</v>
      </c>
      <c r="AC427">
        <v>15.56030176727562</v>
      </c>
      <c r="AD427">
        <v>60.781934172522618</v>
      </c>
      <c r="AE427">
        <v>60.781934172522618</v>
      </c>
      <c r="AF427" t="s">
        <v>58</v>
      </c>
      <c r="AG427" t="b">
        <v>1</v>
      </c>
      <c r="AH427">
        <v>3.906218213605035</v>
      </c>
      <c r="AI427">
        <v>637.56399999999996</v>
      </c>
      <c r="AJ427">
        <v>90.817700000000002</v>
      </c>
      <c r="AK427">
        <v>39.358900000000013</v>
      </c>
      <c r="AL427">
        <v>15.32134630557295</v>
      </c>
      <c r="AM427">
        <v>39.362237200765414</v>
      </c>
      <c r="AN427">
        <v>39.362237200765414</v>
      </c>
      <c r="AO427" t="s">
        <v>58</v>
      </c>
      <c r="AP427" t="b">
        <v>1</v>
      </c>
      <c r="AQ427">
        <v>2.5691108611289519</v>
      </c>
      <c r="AR427">
        <v>637.65300000000002</v>
      </c>
      <c r="AS427">
        <v>60.781934172522618</v>
      </c>
      <c r="AT427">
        <v>3.906218213605035</v>
      </c>
      <c r="AU427" s="5">
        <v>45.404104826874395</v>
      </c>
      <c r="AV427" s="5">
        <v>64.854323762081634</v>
      </c>
      <c r="AW427" s="5">
        <v>2.9179450055629612</v>
      </c>
      <c r="AX427" s="5">
        <v>4.167934833916572</v>
      </c>
      <c r="AY427" t="s">
        <v>59</v>
      </c>
      <c r="AZ427" t="s">
        <v>60</v>
      </c>
      <c r="BA427" s="23">
        <f t="shared" si="6"/>
        <v>0</v>
      </c>
      <c r="BB427" s="23">
        <f>IF(AND(ISNUMBER(H427),Metadata!$H$5&gt;Metadata!$G$5),MAX(Metadata!$G$5-H427,0,H427-Metadata!$H$5)/(Metadata!$H$5-Metadata!$G$5),"Missing input")</f>
        <v>0</v>
      </c>
      <c r="BC427" s="23">
        <f>IF(AND(ISNUMBER(L427),Metadata!$H$8&gt;Metadata!$G$8),MAX(Metadata!$G$8-L427,0,L427-Metadata!$H$8)/(Metadata!$H$8-Metadata!$G$8),"Missing input")</f>
        <v>0</v>
      </c>
    </row>
    <row r="428" spans="1:55" x14ac:dyDescent="0.2">
      <c r="A428" t="s">
        <v>515</v>
      </c>
      <c r="B428" t="s">
        <v>509</v>
      </c>
      <c r="C428" t="s">
        <v>466</v>
      </c>
      <c r="D428" t="s">
        <v>55</v>
      </c>
      <c r="E428" t="s">
        <v>467</v>
      </c>
      <c r="F428">
        <v>7</v>
      </c>
      <c r="G428">
        <v>42.943727860216583</v>
      </c>
      <c r="H428">
        <v>31.604415760045629</v>
      </c>
      <c r="I428">
        <v>1.36</v>
      </c>
      <c r="J428">
        <v>1.25</v>
      </c>
      <c r="K428">
        <v>0.54</v>
      </c>
      <c r="L428">
        <v>0.25</v>
      </c>
      <c r="N428">
        <v>125</v>
      </c>
      <c r="O428">
        <v>10</v>
      </c>
      <c r="P428">
        <v>10</v>
      </c>
      <c r="Q428">
        <v>0.53616514621265798</v>
      </c>
      <c r="R428">
        <v>4025355.613741619</v>
      </c>
      <c r="S428">
        <v>-5.6142683918780729E-3</v>
      </c>
      <c r="T428">
        <v>1822.9124771045711</v>
      </c>
      <c r="U428">
        <v>764.25751687900618</v>
      </c>
      <c r="V428">
        <v>403.29922059835638</v>
      </c>
      <c r="W428">
        <v>1.895013622255735</v>
      </c>
      <c r="X428" t="s">
        <v>57</v>
      </c>
      <c r="Y428">
        <v>8</v>
      </c>
      <c r="Z428">
        <v>884.45299999999997</v>
      </c>
      <c r="AA428">
        <v>95.163399999999996</v>
      </c>
      <c r="AB428">
        <v>37.053600000000003</v>
      </c>
      <c r="AC428">
        <v>15.109979123263891</v>
      </c>
      <c r="AD428">
        <v>40.878693826241289</v>
      </c>
      <c r="AE428">
        <v>40.878693826241289</v>
      </c>
      <c r="AF428" t="s">
        <v>58</v>
      </c>
      <c r="AG428" t="b">
        <v>1</v>
      </c>
      <c r="AH428">
        <v>2.7054103445651299</v>
      </c>
      <c r="AI428">
        <v>879.31899999999996</v>
      </c>
      <c r="AJ428">
        <v>91.310100000000006</v>
      </c>
      <c r="AK428">
        <v>36.481499999999997</v>
      </c>
      <c r="AL428">
        <v>14.521136709753231</v>
      </c>
      <c r="AM428">
        <v>39.970537501617677</v>
      </c>
      <c r="AN428">
        <v>39.970537501617677</v>
      </c>
      <c r="AO428" t="s">
        <v>58</v>
      </c>
      <c r="AP428" t="b">
        <v>1</v>
      </c>
      <c r="AQ428">
        <v>2.75257635132456</v>
      </c>
      <c r="AR428">
        <v>884.45299999999997</v>
      </c>
      <c r="AS428">
        <v>40.878693826241289</v>
      </c>
      <c r="AT428">
        <v>2.75257635132456</v>
      </c>
      <c r="AU428" s="5">
        <v>30.536384288202242</v>
      </c>
      <c r="AV428" s="5">
        <v>43.61756631259945</v>
      </c>
      <c r="AW428" s="5">
        <v>2.0561745344394464</v>
      </c>
      <c r="AX428" s="5">
        <v>2.9369989668633054</v>
      </c>
      <c r="AY428" t="s">
        <v>59</v>
      </c>
      <c r="AZ428" t="s">
        <v>60</v>
      </c>
      <c r="BA428" s="23">
        <f t="shared" si="6"/>
        <v>0</v>
      </c>
      <c r="BB428" s="23">
        <f>IF(AND(ISNUMBER(H428),Metadata!$H$5&gt;Metadata!$G$5),MAX(Metadata!$G$5-H428,0,H428-Metadata!$H$5)/(Metadata!$H$5-Metadata!$G$5),"Missing input")</f>
        <v>0</v>
      </c>
      <c r="BC428" s="23">
        <f>IF(AND(ISNUMBER(L428),Metadata!$H$8&gt;Metadata!$G$8),MAX(Metadata!$G$8-L428,0,L428-Metadata!$H$8)/(Metadata!$H$8-Metadata!$G$8),"Missing input")</f>
        <v>0</v>
      </c>
    </row>
    <row r="429" spans="1:55" x14ac:dyDescent="0.2">
      <c r="A429" t="s">
        <v>516</v>
      </c>
      <c r="B429" t="s">
        <v>509</v>
      </c>
      <c r="C429" t="s">
        <v>466</v>
      </c>
      <c r="D429" t="s">
        <v>55</v>
      </c>
      <c r="E429" t="s">
        <v>467</v>
      </c>
      <c r="F429">
        <v>8</v>
      </c>
      <c r="G429">
        <v>29.155454969686971</v>
      </c>
      <c r="H429">
        <v>7.3398505058277053</v>
      </c>
      <c r="I429">
        <v>1.36</v>
      </c>
      <c r="J429">
        <v>1.25</v>
      </c>
      <c r="K429">
        <v>0.54</v>
      </c>
      <c r="L429">
        <v>0.25</v>
      </c>
      <c r="N429">
        <v>125</v>
      </c>
      <c r="O429">
        <v>10</v>
      </c>
      <c r="P429">
        <v>10</v>
      </c>
      <c r="Q429">
        <v>0.53616514621265798</v>
      </c>
      <c r="R429">
        <v>595711.36772068124</v>
      </c>
      <c r="S429">
        <v>-2.7841901350940039E-3</v>
      </c>
      <c r="T429">
        <v>535.71641627169549</v>
      </c>
      <c r="U429">
        <v>706.7858992589853</v>
      </c>
      <c r="V429">
        <v>118.521331033561</v>
      </c>
      <c r="W429">
        <v>5.9633645108056452</v>
      </c>
      <c r="X429" t="s">
        <v>57</v>
      </c>
      <c r="Y429">
        <v>8</v>
      </c>
      <c r="Z429">
        <v>440.01100000000002</v>
      </c>
      <c r="AA429">
        <v>94.730900000000005</v>
      </c>
      <c r="AB429">
        <v>51.296399999999998</v>
      </c>
      <c r="AC429">
        <v>16.172354717421769</v>
      </c>
      <c r="AD429">
        <v>78.011364570309624</v>
      </c>
      <c r="AE429">
        <v>78.011364570309624</v>
      </c>
      <c r="AF429" t="s">
        <v>58</v>
      </c>
      <c r="AG429" t="b">
        <v>1</v>
      </c>
      <c r="AH429">
        <v>4.823748052364409</v>
      </c>
      <c r="AI429">
        <v>436.32900000000001</v>
      </c>
      <c r="AJ429">
        <v>91.137100000000004</v>
      </c>
      <c r="AK429">
        <v>63.951800000000013</v>
      </c>
      <c r="AL429">
        <v>15.564801079913609</v>
      </c>
      <c r="AN429">
        <v>91.137100000000004</v>
      </c>
      <c r="AO429" t="s">
        <v>62</v>
      </c>
      <c r="AP429" t="b">
        <v>0</v>
      </c>
      <c r="AQ429">
        <v>5.8553334239274362</v>
      </c>
      <c r="AR429">
        <v>440.01100000000002</v>
      </c>
      <c r="AS429">
        <v>91.137100000000004</v>
      </c>
      <c r="AT429">
        <v>5.8553334239274362</v>
      </c>
      <c r="AU429" s="5">
        <v>68.079413700000003</v>
      </c>
      <c r="AV429" s="5">
        <v>97.243285700000001</v>
      </c>
      <c r="AW429" s="5">
        <v>4.3739340676737948</v>
      </c>
      <c r="AX429" s="5">
        <v>6.2476407633305744</v>
      </c>
      <c r="AY429" t="s">
        <v>59</v>
      </c>
      <c r="AZ429" t="s">
        <v>60</v>
      </c>
      <c r="BA429" s="23">
        <f t="shared" si="6"/>
        <v>0</v>
      </c>
      <c r="BB429" s="23">
        <f>IF(AND(ISNUMBER(H429),Metadata!$H$5&gt;Metadata!$G$5),MAX(Metadata!$G$5-H429,0,H429-Metadata!$H$5)/(Metadata!$H$5-Metadata!$G$5),"Missing input")</f>
        <v>0</v>
      </c>
      <c r="BC429" s="23">
        <f>IF(AND(ISNUMBER(L429),Metadata!$H$8&gt;Metadata!$G$8),MAX(Metadata!$G$8-L429,0,L429-Metadata!$H$8)/(Metadata!$H$8-Metadata!$G$8),"Missing input")</f>
        <v>0</v>
      </c>
    </row>
    <row r="430" spans="1:55" x14ac:dyDescent="0.2">
      <c r="A430" t="s">
        <v>517</v>
      </c>
      <c r="B430" t="s">
        <v>509</v>
      </c>
      <c r="C430" t="s">
        <v>466</v>
      </c>
      <c r="D430" t="s">
        <v>55</v>
      </c>
      <c r="E430" t="s">
        <v>467</v>
      </c>
      <c r="F430">
        <v>9</v>
      </c>
      <c r="G430">
        <v>59.748609235827082</v>
      </c>
      <c r="H430">
        <v>37.783512331141722</v>
      </c>
      <c r="I430">
        <v>1.36</v>
      </c>
      <c r="J430">
        <v>1.25</v>
      </c>
      <c r="K430">
        <v>0.54</v>
      </c>
      <c r="L430">
        <v>0.25</v>
      </c>
      <c r="N430">
        <v>125</v>
      </c>
      <c r="O430">
        <v>10</v>
      </c>
      <c r="P430">
        <v>10</v>
      </c>
      <c r="Q430">
        <v>0.53616514621265798</v>
      </c>
      <c r="R430">
        <v>6726258.2664913209</v>
      </c>
      <c r="S430">
        <v>-5.8053030059062706E-3</v>
      </c>
      <c r="T430">
        <v>3015.015295852239</v>
      </c>
      <c r="U430">
        <v>822.87545002106197</v>
      </c>
      <c r="V430">
        <v>667.03878226819438</v>
      </c>
      <c r="W430">
        <v>1.233624598592246</v>
      </c>
      <c r="X430" t="s">
        <v>57</v>
      </c>
      <c r="Y430">
        <v>8</v>
      </c>
      <c r="Z430">
        <v>1173.17</v>
      </c>
      <c r="AA430">
        <v>95.163399999999996</v>
      </c>
      <c r="AB430">
        <v>32.520200000000003</v>
      </c>
      <c r="AC430">
        <v>14.81034601209049</v>
      </c>
      <c r="AD430">
        <v>34.887243075170133</v>
      </c>
      <c r="AE430">
        <v>34.887243075170133</v>
      </c>
      <c r="AF430" t="s">
        <v>58</v>
      </c>
      <c r="AG430" t="b">
        <v>1</v>
      </c>
      <c r="AH430">
        <v>2.3555994604508079</v>
      </c>
      <c r="AI430">
        <v>1175.26</v>
      </c>
      <c r="AJ430">
        <v>91.310100000000006</v>
      </c>
      <c r="AK430">
        <v>32.289299999999997</v>
      </c>
      <c r="AL430">
        <v>14.13227370991372</v>
      </c>
      <c r="AM430">
        <v>34.229966248552152</v>
      </c>
      <c r="AN430">
        <v>34.229966248552152</v>
      </c>
      <c r="AO430" t="s">
        <v>58</v>
      </c>
      <c r="AP430" t="b">
        <v>1</v>
      </c>
      <c r="AQ430">
        <v>2.4221131681408061</v>
      </c>
      <c r="AR430">
        <v>1175.26</v>
      </c>
      <c r="AS430">
        <v>34.887243075170133</v>
      </c>
      <c r="AT430">
        <v>2.4221131681408061</v>
      </c>
      <c r="AU430" s="5">
        <v>26.060770577152088</v>
      </c>
      <c r="AV430" s="5">
        <v>37.224688361206532</v>
      </c>
      <c r="AW430" s="5">
        <v>1.8093185366011821</v>
      </c>
      <c r="AX430" s="5">
        <v>2.5843947504062399</v>
      </c>
      <c r="AY430" t="s">
        <v>59</v>
      </c>
      <c r="AZ430" t="s">
        <v>60</v>
      </c>
      <c r="BA430" s="23">
        <f t="shared" si="6"/>
        <v>0</v>
      </c>
      <c r="BB430" s="23">
        <f>IF(AND(ISNUMBER(H430),Metadata!$H$5&gt;Metadata!$G$5),MAX(Metadata!$G$5-H430,0,H430-Metadata!$H$5)/(Metadata!$H$5-Metadata!$G$5),"Missing input")</f>
        <v>0</v>
      </c>
      <c r="BC430" s="23">
        <f>IF(AND(ISNUMBER(L430),Metadata!$H$8&gt;Metadata!$G$8),MAX(Metadata!$G$8-L430,0,L430-Metadata!$H$8)/(Metadata!$H$8-Metadata!$G$8),"Missing input")</f>
        <v>0</v>
      </c>
    </row>
    <row r="431" spans="1:55" x14ac:dyDescent="0.2">
      <c r="A431" t="s">
        <v>518</v>
      </c>
      <c r="B431" t="s">
        <v>509</v>
      </c>
      <c r="C431" t="s">
        <v>466</v>
      </c>
      <c r="D431" t="s">
        <v>55</v>
      </c>
      <c r="E431" t="s">
        <v>467</v>
      </c>
      <c r="F431">
        <v>10</v>
      </c>
      <c r="G431">
        <v>34.746337553007109</v>
      </c>
      <c r="H431">
        <v>23.7414613202046</v>
      </c>
      <c r="I431">
        <v>1.36</v>
      </c>
      <c r="J431">
        <v>1.25</v>
      </c>
      <c r="K431">
        <v>0.54</v>
      </c>
      <c r="L431">
        <v>0.25</v>
      </c>
      <c r="N431">
        <v>125</v>
      </c>
      <c r="O431">
        <v>10</v>
      </c>
      <c r="P431">
        <v>10</v>
      </c>
      <c r="Q431">
        <v>0.53616514621265798</v>
      </c>
      <c r="R431">
        <v>2428507.8121004719</v>
      </c>
      <c r="S431">
        <v>-5.0112990575340126E-3</v>
      </c>
      <c r="T431">
        <v>1166.9744647054511</v>
      </c>
      <c r="U431">
        <v>731.44834288856589</v>
      </c>
      <c r="V431">
        <v>258.18019130651572</v>
      </c>
      <c r="W431">
        <v>2.8330924196278811</v>
      </c>
      <c r="X431" t="s">
        <v>57</v>
      </c>
      <c r="Y431">
        <v>8</v>
      </c>
      <c r="Z431">
        <v>705.10900000000004</v>
      </c>
      <c r="AA431">
        <v>95.163399999999996</v>
      </c>
      <c r="AB431">
        <v>43.415999999999997</v>
      </c>
      <c r="AC431">
        <v>15.689767739212011</v>
      </c>
      <c r="AD431">
        <v>52.0223792979994</v>
      </c>
      <c r="AE431">
        <v>52.0223792979994</v>
      </c>
      <c r="AF431" t="s">
        <v>58</v>
      </c>
      <c r="AG431" t="b">
        <v>1</v>
      </c>
      <c r="AH431">
        <v>3.3156882984306129</v>
      </c>
      <c r="AI431">
        <v>700.44799999999998</v>
      </c>
      <c r="AJ431">
        <v>91.310100000000006</v>
      </c>
      <c r="AK431">
        <v>39.358900000000013</v>
      </c>
      <c r="AL431">
        <v>15.28035813815595</v>
      </c>
      <c r="AM431">
        <v>51.972313737357517</v>
      </c>
      <c r="AN431">
        <v>51.972313737357517</v>
      </c>
      <c r="AO431" t="s">
        <v>58</v>
      </c>
      <c r="AP431" t="b">
        <v>1</v>
      </c>
      <c r="AQ431">
        <v>3.4012497133545341</v>
      </c>
      <c r="AR431">
        <v>705.10900000000004</v>
      </c>
      <c r="AS431">
        <v>52.0223792979994</v>
      </c>
      <c r="AT431">
        <v>3.4012497133545341</v>
      </c>
      <c r="AU431" s="5">
        <v>38.86071733560555</v>
      </c>
      <c r="AV431" s="5">
        <v>55.507878710965358</v>
      </c>
      <c r="AW431" s="5">
        <v>2.5407335358758369</v>
      </c>
      <c r="AX431" s="5">
        <v>3.6291334441492875</v>
      </c>
      <c r="AY431" t="s">
        <v>59</v>
      </c>
      <c r="AZ431" t="s">
        <v>60</v>
      </c>
      <c r="BA431" s="23">
        <f t="shared" si="6"/>
        <v>0</v>
      </c>
      <c r="BB431" s="23">
        <f>IF(AND(ISNUMBER(H431),Metadata!$H$5&gt;Metadata!$G$5),MAX(Metadata!$G$5-H431,0,H431-Metadata!$H$5)/(Metadata!$H$5-Metadata!$G$5),"Missing input")</f>
        <v>0</v>
      </c>
      <c r="BC431" s="23">
        <f>IF(AND(ISNUMBER(L431),Metadata!$H$8&gt;Metadata!$G$8),MAX(Metadata!$G$8-L431,0,L431-Metadata!$H$8)/(Metadata!$H$8-Metadata!$G$8),"Missing input")</f>
        <v>0</v>
      </c>
    </row>
    <row r="432" spans="1:55" x14ac:dyDescent="0.2">
      <c r="A432" t="s">
        <v>519</v>
      </c>
      <c r="B432" t="s">
        <v>509</v>
      </c>
      <c r="C432" t="s">
        <v>466</v>
      </c>
      <c r="D432" t="s">
        <v>55</v>
      </c>
      <c r="E432" t="s">
        <v>467</v>
      </c>
      <c r="F432">
        <v>11</v>
      </c>
      <c r="G432">
        <v>24.502161634428251</v>
      </c>
      <c r="H432">
        <v>33.048591474592847</v>
      </c>
      <c r="I432">
        <v>1.36</v>
      </c>
      <c r="J432">
        <v>1.25</v>
      </c>
      <c r="K432">
        <v>0.54</v>
      </c>
      <c r="L432">
        <v>0.25</v>
      </c>
      <c r="N432">
        <v>125</v>
      </c>
      <c r="O432">
        <v>10</v>
      </c>
      <c r="P432">
        <v>10</v>
      </c>
      <c r="Q432">
        <v>0.53616514621265798</v>
      </c>
      <c r="R432">
        <v>2383007.1153019848</v>
      </c>
      <c r="S432">
        <v>-5.6797550253083083E-3</v>
      </c>
      <c r="T432">
        <v>1190.280176092946</v>
      </c>
      <c r="U432">
        <v>684.38581388777777</v>
      </c>
      <c r="V432">
        <v>263.33632214445709</v>
      </c>
      <c r="W432">
        <v>2.598903973119012</v>
      </c>
      <c r="X432" t="s">
        <v>57</v>
      </c>
      <c r="Y432">
        <v>8</v>
      </c>
      <c r="Z432">
        <v>609.59199999999998</v>
      </c>
      <c r="AA432">
        <v>95.163399999999996</v>
      </c>
      <c r="AB432">
        <v>35.542400000000001</v>
      </c>
      <c r="AC432">
        <v>15.376157472210791</v>
      </c>
      <c r="AD432">
        <v>40.261374176127653</v>
      </c>
      <c r="AE432">
        <v>40.261374176127653</v>
      </c>
      <c r="AF432" t="s">
        <v>58</v>
      </c>
      <c r="AG432" t="b">
        <v>1</v>
      </c>
      <c r="AH432">
        <v>2.6184288401632019</v>
      </c>
      <c r="AI432">
        <v>604.27099999999996</v>
      </c>
      <c r="AJ432">
        <v>91.310100000000006</v>
      </c>
      <c r="AK432">
        <v>32.289299999999997</v>
      </c>
      <c r="AL432">
        <v>14.746323759637949</v>
      </c>
      <c r="AM432">
        <v>39.871594786362017</v>
      </c>
      <c r="AN432">
        <v>39.871594786362017</v>
      </c>
      <c r="AO432" t="s">
        <v>58</v>
      </c>
      <c r="AP432" t="b">
        <v>1</v>
      </c>
      <c r="AQ432">
        <v>2.703832862770466</v>
      </c>
      <c r="AR432">
        <v>609.59199999999998</v>
      </c>
      <c r="AS432">
        <v>40.261374176127653</v>
      </c>
      <c r="AT432">
        <v>2.703832862770466</v>
      </c>
      <c r="AU432" s="5">
        <v>30.075246509567357</v>
      </c>
      <c r="AV432" s="5">
        <v>42.958886245928205</v>
      </c>
      <c r="AW432" s="5">
        <v>2.0197631484895382</v>
      </c>
      <c r="AX432" s="5">
        <v>2.8849896645760871</v>
      </c>
      <c r="AY432" t="s">
        <v>59</v>
      </c>
      <c r="AZ432" t="s">
        <v>60</v>
      </c>
      <c r="BA432" s="23">
        <f t="shared" si="6"/>
        <v>0</v>
      </c>
      <c r="BB432" s="23">
        <f>IF(AND(ISNUMBER(H432),Metadata!$H$5&gt;Metadata!$G$5),MAX(Metadata!$G$5-H432,0,H432-Metadata!$H$5)/(Metadata!$H$5-Metadata!$G$5),"Missing input")</f>
        <v>0</v>
      </c>
      <c r="BC432" s="23">
        <f>IF(AND(ISNUMBER(L432),Metadata!$H$8&gt;Metadata!$G$8),MAX(Metadata!$G$8-L432,0,L432-Metadata!$H$8)/(Metadata!$H$8-Metadata!$G$8),"Missing input")</f>
        <v>0</v>
      </c>
    </row>
    <row r="433" spans="1:55" x14ac:dyDescent="0.2">
      <c r="A433" t="s">
        <v>520</v>
      </c>
      <c r="B433" t="s">
        <v>509</v>
      </c>
      <c r="C433" t="s">
        <v>466</v>
      </c>
      <c r="D433" t="s">
        <v>55</v>
      </c>
      <c r="E433" t="s">
        <v>467</v>
      </c>
      <c r="F433">
        <v>12</v>
      </c>
      <c r="G433">
        <v>56.241153781572699</v>
      </c>
      <c r="H433">
        <v>14.78764467513273</v>
      </c>
      <c r="I433">
        <v>1.36</v>
      </c>
      <c r="J433">
        <v>1.25</v>
      </c>
      <c r="K433">
        <v>0.54</v>
      </c>
      <c r="L433">
        <v>0.25</v>
      </c>
      <c r="N433">
        <v>125</v>
      </c>
      <c r="O433">
        <v>10</v>
      </c>
      <c r="P433">
        <v>10</v>
      </c>
      <c r="Q433">
        <v>0.53616514621265798</v>
      </c>
      <c r="R433">
        <v>2448743.9197241841</v>
      </c>
      <c r="S433">
        <v>-3.868504015383527E-3</v>
      </c>
      <c r="T433">
        <v>1117.1586036259821</v>
      </c>
      <c r="U433">
        <v>811.40111588676484</v>
      </c>
      <c r="V433">
        <v>247.15898310309331</v>
      </c>
      <c r="W433">
        <v>3.2829116939209881</v>
      </c>
      <c r="X433" t="s">
        <v>57</v>
      </c>
      <c r="Y433">
        <v>8</v>
      </c>
      <c r="Z433">
        <v>796.62900000000002</v>
      </c>
      <c r="AA433">
        <v>95.163399999999996</v>
      </c>
      <c r="AB433">
        <v>51.296399999999998</v>
      </c>
      <c r="AC433">
        <v>14.847884475740811</v>
      </c>
      <c r="AD433">
        <v>81.966507370940164</v>
      </c>
      <c r="AE433">
        <v>81.966507370940164</v>
      </c>
      <c r="AF433" t="s">
        <v>58</v>
      </c>
      <c r="AG433" t="b">
        <v>1</v>
      </c>
      <c r="AH433">
        <v>5.5204165620268011</v>
      </c>
      <c r="AI433">
        <v>791.88599999999997</v>
      </c>
      <c r="AJ433">
        <v>91.310100000000006</v>
      </c>
      <c r="AK433">
        <v>51.757599999999996</v>
      </c>
      <c r="AL433">
        <v>14.43365596134538</v>
      </c>
      <c r="AM433">
        <v>81.490510969981869</v>
      </c>
      <c r="AN433">
        <v>81.490510969981869</v>
      </c>
      <c r="AO433" t="s">
        <v>58</v>
      </c>
      <c r="AP433" t="b">
        <v>1</v>
      </c>
      <c r="AQ433">
        <v>5.6458676296719794</v>
      </c>
      <c r="AR433">
        <v>796.62900000000002</v>
      </c>
      <c r="AS433">
        <v>81.966507370940164</v>
      </c>
      <c r="AT433">
        <v>5.6458676296719794</v>
      </c>
      <c r="AU433" s="5">
        <v>61.228981006092305</v>
      </c>
      <c r="AV433" s="5">
        <v>87.458263364793154</v>
      </c>
      <c r="AW433" s="5">
        <v>4.217463119364969</v>
      </c>
      <c r="AX433" s="5">
        <v>6.0241407608600017</v>
      </c>
      <c r="AY433" t="s">
        <v>59</v>
      </c>
      <c r="AZ433" t="s">
        <v>60</v>
      </c>
      <c r="BA433" s="23">
        <f t="shared" si="6"/>
        <v>0</v>
      </c>
      <c r="BB433" s="23">
        <f>IF(AND(ISNUMBER(H433),Metadata!$H$5&gt;Metadata!$G$5),MAX(Metadata!$G$5-H433,0,H433-Metadata!$H$5)/(Metadata!$H$5-Metadata!$G$5),"Missing input")</f>
        <v>0</v>
      </c>
      <c r="BC433" s="23">
        <f>IF(AND(ISNUMBER(L433),Metadata!$H$8&gt;Metadata!$G$8),MAX(Metadata!$G$8-L433,0,L433-Metadata!$H$8)/(Metadata!$H$8-Metadata!$G$8),"Missing input")</f>
        <v>0</v>
      </c>
    </row>
    <row r="434" spans="1:55" x14ac:dyDescent="0.2">
      <c r="A434" t="s">
        <v>521</v>
      </c>
      <c r="B434" t="s">
        <v>509</v>
      </c>
      <c r="C434" t="s">
        <v>466</v>
      </c>
      <c r="D434" t="s">
        <v>55</v>
      </c>
      <c r="E434" t="s">
        <v>467</v>
      </c>
      <c r="F434">
        <v>13</v>
      </c>
      <c r="G434">
        <v>49.119901382435643</v>
      </c>
      <c r="H434">
        <v>22.54933477691009</v>
      </c>
      <c r="I434">
        <v>1.36</v>
      </c>
      <c r="J434">
        <v>1.25</v>
      </c>
      <c r="K434">
        <v>0.54</v>
      </c>
      <c r="L434">
        <v>0.25</v>
      </c>
      <c r="N434">
        <v>125</v>
      </c>
      <c r="O434">
        <v>10</v>
      </c>
      <c r="P434">
        <v>10</v>
      </c>
      <c r="Q434">
        <v>0.53616514621265798</v>
      </c>
      <c r="R434">
        <v>3276584.6264440492</v>
      </c>
      <c r="S434">
        <v>-4.8834376166672676E-3</v>
      </c>
      <c r="T434">
        <v>1469.036955667138</v>
      </c>
      <c r="U434">
        <v>786.94653369120795</v>
      </c>
      <c r="V434">
        <v>325.00817603255268</v>
      </c>
      <c r="W434">
        <v>2.421313036790766</v>
      </c>
      <c r="X434" t="s">
        <v>57</v>
      </c>
      <c r="Y434">
        <v>8</v>
      </c>
      <c r="Z434">
        <v>875.41800000000001</v>
      </c>
      <c r="AA434">
        <v>95.163399999999996</v>
      </c>
      <c r="AB434">
        <v>44.910200000000003</v>
      </c>
      <c r="AC434">
        <v>15.395869722138331</v>
      </c>
      <c r="AD434">
        <v>56.229453039524167</v>
      </c>
      <c r="AE434">
        <v>56.229453039524167</v>
      </c>
      <c r="AF434" t="s">
        <v>58</v>
      </c>
      <c r="AG434" t="b">
        <v>1</v>
      </c>
      <c r="AH434">
        <v>3.6522427153738271</v>
      </c>
      <c r="AI434">
        <v>869.69799999999998</v>
      </c>
      <c r="AJ434">
        <v>91.310100000000006</v>
      </c>
      <c r="AK434">
        <v>45.230800000000002</v>
      </c>
      <c r="AL434">
        <v>15.04179220272905</v>
      </c>
      <c r="AM434">
        <v>55.66302143135924</v>
      </c>
      <c r="AN434">
        <v>55.66302143135924</v>
      </c>
      <c r="AO434" t="s">
        <v>58</v>
      </c>
      <c r="AP434" t="b">
        <v>1</v>
      </c>
      <c r="AQ434">
        <v>3.700557797977043</v>
      </c>
      <c r="AR434">
        <v>875.41800000000001</v>
      </c>
      <c r="AS434">
        <v>56.229453039524167</v>
      </c>
      <c r="AT434">
        <v>3.700557797977043</v>
      </c>
      <c r="AU434" s="5">
        <v>42.003401420524554</v>
      </c>
      <c r="AV434" s="5">
        <v>59.996826393172284</v>
      </c>
      <c r="AW434" s="5">
        <v>2.764316675088851</v>
      </c>
      <c r="AX434" s="5">
        <v>3.9484951704415048</v>
      </c>
      <c r="AY434" t="s">
        <v>59</v>
      </c>
      <c r="AZ434" t="s">
        <v>60</v>
      </c>
      <c r="BA434" s="23">
        <f t="shared" si="6"/>
        <v>0</v>
      </c>
      <c r="BB434" s="23">
        <f>IF(AND(ISNUMBER(H434),Metadata!$H$5&gt;Metadata!$G$5),MAX(Metadata!$G$5-H434,0,H434-Metadata!$H$5)/(Metadata!$H$5-Metadata!$G$5),"Missing input")</f>
        <v>0</v>
      </c>
      <c r="BC434" s="23">
        <f>IF(AND(ISNUMBER(L434),Metadata!$H$8&gt;Metadata!$G$8),MAX(Metadata!$G$8-L434,0,L434-Metadata!$H$8)/(Metadata!$H$8-Metadata!$G$8),"Missing input")</f>
        <v>0</v>
      </c>
    </row>
    <row r="435" spans="1:55" x14ac:dyDescent="0.2">
      <c r="A435" t="s">
        <v>522</v>
      </c>
      <c r="B435" t="s">
        <v>509</v>
      </c>
      <c r="C435" t="s">
        <v>466</v>
      </c>
      <c r="D435" t="s">
        <v>55</v>
      </c>
      <c r="E435" t="s">
        <v>467</v>
      </c>
      <c r="F435">
        <v>14</v>
      </c>
      <c r="G435">
        <v>37.958866376576751</v>
      </c>
      <c r="H435">
        <v>9.8264864335603903</v>
      </c>
      <c r="I435">
        <v>1.36</v>
      </c>
      <c r="J435">
        <v>1.25</v>
      </c>
      <c r="K435">
        <v>0.54</v>
      </c>
      <c r="L435">
        <v>0.25</v>
      </c>
      <c r="N435">
        <v>125</v>
      </c>
      <c r="O435">
        <v>10</v>
      </c>
      <c r="P435">
        <v>10</v>
      </c>
      <c r="Q435">
        <v>0.53616514621265798</v>
      </c>
      <c r="R435">
        <v>1072728.181448289</v>
      </c>
      <c r="S435">
        <v>-3.140069261533329E-3</v>
      </c>
      <c r="T435">
        <v>666.64216525218876</v>
      </c>
      <c r="U435">
        <v>744.72430032575369</v>
      </c>
      <c r="V435">
        <v>147.48720470181169</v>
      </c>
      <c r="W435">
        <v>5.0494163329722781</v>
      </c>
      <c r="X435" t="s">
        <v>57</v>
      </c>
      <c r="Y435">
        <v>8</v>
      </c>
      <c r="Z435">
        <v>537.46199999999999</v>
      </c>
      <c r="AA435">
        <v>95.163399999999996</v>
      </c>
      <c r="AB435">
        <v>62.418300000000002</v>
      </c>
      <c r="AC435">
        <v>15.52002962056304</v>
      </c>
      <c r="AE435">
        <v>95.163399999999996</v>
      </c>
      <c r="AF435" t="s">
        <v>62</v>
      </c>
      <c r="AG435" t="b">
        <v>0</v>
      </c>
      <c r="AH435">
        <v>6.1316506686246681</v>
      </c>
      <c r="AI435">
        <v>534.09500000000003</v>
      </c>
      <c r="AJ435">
        <v>91.310100000000006</v>
      </c>
      <c r="AK435">
        <v>61.802500000000002</v>
      </c>
      <c r="AL435">
        <v>15.04834042553192</v>
      </c>
      <c r="AN435">
        <v>91.310100000000006</v>
      </c>
      <c r="AO435" t="s">
        <v>62</v>
      </c>
      <c r="AP435" t="b">
        <v>0</v>
      </c>
      <c r="AQ435">
        <v>6.0677853781854774</v>
      </c>
      <c r="AR435">
        <v>537.46199999999999</v>
      </c>
      <c r="AS435">
        <v>95.163399999999996</v>
      </c>
      <c r="AT435">
        <v>6.1316506686246681</v>
      </c>
      <c r="AU435" s="5">
        <v>71.087059799999992</v>
      </c>
      <c r="AV435" s="5">
        <v>101.53934779999999</v>
      </c>
      <c r="AW435" s="5">
        <v>4.5803430494626269</v>
      </c>
      <c r="AX435" s="5">
        <v>6.5424712634225202</v>
      </c>
      <c r="AY435" t="s">
        <v>59</v>
      </c>
      <c r="AZ435" t="s">
        <v>60</v>
      </c>
      <c r="BA435" s="23">
        <f t="shared" si="6"/>
        <v>0</v>
      </c>
      <c r="BB435" s="23">
        <f>IF(AND(ISNUMBER(H435),Metadata!$H$5&gt;Metadata!$G$5),MAX(Metadata!$G$5-H435,0,H435-Metadata!$H$5)/(Metadata!$H$5-Metadata!$G$5),"Missing input")</f>
        <v>0</v>
      </c>
      <c r="BC435" s="23">
        <f>IF(AND(ISNUMBER(L435),Metadata!$H$8&gt;Metadata!$G$8),MAX(Metadata!$G$8-L435,0,L435-Metadata!$H$8)/(Metadata!$H$8-Metadata!$G$8),"Missing input")</f>
        <v>0</v>
      </c>
    </row>
    <row r="436" spans="1:55" x14ac:dyDescent="0.2">
      <c r="A436" t="s">
        <v>523</v>
      </c>
      <c r="B436" t="s">
        <v>509</v>
      </c>
      <c r="C436" t="s">
        <v>466</v>
      </c>
      <c r="D436" t="s">
        <v>55</v>
      </c>
      <c r="E436" t="s">
        <v>467</v>
      </c>
      <c r="F436">
        <v>15</v>
      </c>
      <c r="G436">
        <v>27.308053040943211</v>
      </c>
      <c r="H436">
        <v>5.2772178758296739</v>
      </c>
      <c r="I436">
        <v>1.36</v>
      </c>
      <c r="J436">
        <v>1.25</v>
      </c>
      <c r="K436">
        <v>0.54</v>
      </c>
      <c r="L436">
        <v>0.25</v>
      </c>
      <c r="N436">
        <v>125</v>
      </c>
      <c r="O436">
        <v>10</v>
      </c>
      <c r="P436">
        <v>10</v>
      </c>
      <c r="Q436">
        <v>0.53616514621265798</v>
      </c>
      <c r="R436">
        <v>386052.96198531118</v>
      </c>
      <c r="S436">
        <v>-2.503332463324329E-3</v>
      </c>
      <c r="T436">
        <v>483.32576779149929</v>
      </c>
      <c r="U436">
        <v>698.12364149884274</v>
      </c>
      <c r="V436">
        <v>106.9304795998892</v>
      </c>
      <c r="W436">
        <v>6.5287619031642867</v>
      </c>
      <c r="X436" t="s">
        <v>57</v>
      </c>
      <c r="Y436">
        <v>8</v>
      </c>
      <c r="Z436">
        <v>399.29199999999997</v>
      </c>
      <c r="AA436">
        <v>95.166200000000003</v>
      </c>
      <c r="AB436">
        <v>51.296399999999998</v>
      </c>
      <c r="AC436">
        <v>16.479198311444652</v>
      </c>
      <c r="AE436">
        <v>95.166200000000003</v>
      </c>
      <c r="AF436" t="s">
        <v>62</v>
      </c>
      <c r="AG436" t="b">
        <v>0</v>
      </c>
      <c r="AH436">
        <v>5.7749289863153086</v>
      </c>
      <c r="AI436">
        <v>397.17</v>
      </c>
      <c r="AJ436">
        <v>91.307200000000009</v>
      </c>
      <c r="AK436">
        <v>32.289299999999997</v>
      </c>
      <c r="AL436">
        <v>15.953917216981131</v>
      </c>
      <c r="AM436">
        <v>78.465696918644568</v>
      </c>
      <c r="AN436">
        <v>78.465696918644568</v>
      </c>
      <c r="AO436" t="s">
        <v>58</v>
      </c>
      <c r="AP436" t="b">
        <v>1</v>
      </c>
      <c r="AQ436">
        <v>4.9182715349134911</v>
      </c>
      <c r="AR436">
        <v>399.29199999999997</v>
      </c>
      <c r="AS436">
        <v>95.166200000000003</v>
      </c>
      <c r="AT436">
        <v>5.7749289863153086</v>
      </c>
      <c r="AU436" s="5">
        <v>71.089151400000006</v>
      </c>
      <c r="AV436" s="5">
        <v>101.5423354</v>
      </c>
      <c r="AW436" s="5">
        <v>4.3138719527775358</v>
      </c>
      <c r="AX436" s="5">
        <v>6.1618492283984336</v>
      </c>
      <c r="AY436" t="s">
        <v>59</v>
      </c>
      <c r="AZ436" t="s">
        <v>60</v>
      </c>
      <c r="BA436" s="23">
        <f t="shared" si="6"/>
        <v>0</v>
      </c>
      <c r="BB436" s="23">
        <f>IF(AND(ISNUMBER(H436),Metadata!$H$5&gt;Metadata!$G$5),MAX(Metadata!$G$5-H436,0,H436-Metadata!$H$5)/(Metadata!$H$5-Metadata!$G$5),"Missing input")</f>
        <v>0</v>
      </c>
      <c r="BC436" s="23">
        <f>IF(AND(ISNUMBER(L436),Metadata!$H$8&gt;Metadata!$G$8),MAX(Metadata!$G$8-L436,0,L436-Metadata!$H$8)/(Metadata!$H$8-Metadata!$G$8),"Missing input")</f>
        <v>0</v>
      </c>
    </row>
    <row r="437" spans="1:55" x14ac:dyDescent="0.2">
      <c r="A437" t="s">
        <v>524</v>
      </c>
      <c r="B437" t="s">
        <v>509</v>
      </c>
      <c r="C437" t="s">
        <v>466</v>
      </c>
      <c r="D437" t="s">
        <v>55</v>
      </c>
      <c r="E437" t="s">
        <v>467</v>
      </c>
      <c r="F437">
        <v>16</v>
      </c>
      <c r="G437">
        <v>31.1252119640606</v>
      </c>
      <c r="H437">
        <v>39.5069074866867</v>
      </c>
      <c r="I437">
        <v>1.36</v>
      </c>
      <c r="J437">
        <v>1.25</v>
      </c>
      <c r="K437">
        <v>0.54</v>
      </c>
      <c r="L437">
        <v>0.25</v>
      </c>
      <c r="N437">
        <v>125</v>
      </c>
      <c r="O437">
        <v>10</v>
      </c>
      <c r="P437">
        <v>10</v>
      </c>
      <c r="Q437">
        <v>0.53616514621265798</v>
      </c>
      <c r="R437">
        <v>3642703.933702969</v>
      </c>
      <c r="S437">
        <v>-5.8198484699642436E-3</v>
      </c>
      <c r="T437">
        <v>1712.931104713236</v>
      </c>
      <c r="U437">
        <v>715.72465594585606</v>
      </c>
      <c r="V437">
        <v>378.96705856487529</v>
      </c>
      <c r="W437">
        <v>1.8886197092070769</v>
      </c>
      <c r="X437" t="s">
        <v>57</v>
      </c>
      <c r="Y437">
        <v>8</v>
      </c>
      <c r="Z437">
        <v>723.48099999999999</v>
      </c>
      <c r="AA437">
        <v>95.163399999999996</v>
      </c>
      <c r="AB437">
        <v>31.260899999999999</v>
      </c>
      <c r="AC437">
        <v>14.17968481803798</v>
      </c>
      <c r="AD437">
        <v>34.500365755425157</v>
      </c>
      <c r="AE437">
        <v>34.500365755425157</v>
      </c>
      <c r="AF437" t="s">
        <v>58</v>
      </c>
      <c r="AG437" t="b">
        <v>1</v>
      </c>
      <c r="AH437">
        <v>2.4330841057579251</v>
      </c>
      <c r="AI437">
        <v>732.28300000000002</v>
      </c>
      <c r="AJ437">
        <v>91.310100000000006</v>
      </c>
      <c r="AK437">
        <v>32.289299999999997</v>
      </c>
      <c r="AL437">
        <v>13.893971103809021</v>
      </c>
      <c r="AM437">
        <v>34.036552774468838</v>
      </c>
      <c r="AN437">
        <v>34.036552774468838</v>
      </c>
      <c r="AO437" t="s">
        <v>58</v>
      </c>
      <c r="AP437" t="b">
        <v>1</v>
      </c>
      <c r="AQ437">
        <v>2.4497353938743811</v>
      </c>
      <c r="AR437">
        <v>732.28300000000002</v>
      </c>
      <c r="AS437">
        <v>34.500365755425157</v>
      </c>
      <c r="AT437">
        <v>2.4497353938743811</v>
      </c>
      <c r="AU437" s="5">
        <v>25.771773219302592</v>
      </c>
      <c r="AV437" s="5">
        <v>36.811890261038641</v>
      </c>
      <c r="AW437" s="5">
        <v>1.8299523392241628</v>
      </c>
      <c r="AX437" s="5">
        <v>2.6138676652639643</v>
      </c>
      <c r="AY437" t="s">
        <v>59</v>
      </c>
      <c r="AZ437" t="s">
        <v>60</v>
      </c>
      <c r="BA437" s="23">
        <f t="shared" si="6"/>
        <v>0</v>
      </c>
      <c r="BB437" s="23">
        <f>IF(AND(ISNUMBER(H437),Metadata!$H$5&gt;Metadata!$G$5),MAX(Metadata!$G$5-H437,0,H437-Metadata!$H$5)/(Metadata!$H$5-Metadata!$G$5),"Missing input")</f>
        <v>0</v>
      </c>
      <c r="BC437" s="23">
        <f>IF(AND(ISNUMBER(L437),Metadata!$H$8&gt;Metadata!$G$8),MAX(Metadata!$G$8-L437,0,L437-Metadata!$H$8)/(Metadata!$H$8-Metadata!$G$8),"Missing input")</f>
        <v>0</v>
      </c>
    </row>
    <row r="438" spans="1:55" x14ac:dyDescent="0.2">
      <c r="A438" t="s">
        <v>525</v>
      </c>
      <c r="B438" t="s">
        <v>509</v>
      </c>
      <c r="C438" t="s">
        <v>466</v>
      </c>
      <c r="D438" t="s">
        <v>55</v>
      </c>
      <c r="E438" t="s">
        <v>467</v>
      </c>
      <c r="F438">
        <v>17</v>
      </c>
      <c r="G438">
        <v>46.390186033042063</v>
      </c>
      <c r="H438">
        <v>16.21387510983789</v>
      </c>
      <c r="I438">
        <v>1.36</v>
      </c>
      <c r="J438">
        <v>1.25</v>
      </c>
      <c r="K438">
        <v>0.54</v>
      </c>
      <c r="L438">
        <v>0.25</v>
      </c>
      <c r="N438">
        <v>125</v>
      </c>
      <c r="O438">
        <v>10</v>
      </c>
      <c r="P438">
        <v>10</v>
      </c>
      <c r="Q438">
        <v>0.53616514621265798</v>
      </c>
      <c r="R438">
        <v>2210215.3729856689</v>
      </c>
      <c r="S438">
        <v>-4.0728521271023999E-3</v>
      </c>
      <c r="T438">
        <v>1048.320195833754</v>
      </c>
      <c r="U438">
        <v>777.10568399344538</v>
      </c>
      <c r="V438">
        <v>231.9292468658748</v>
      </c>
      <c r="W438">
        <v>3.350615303997635</v>
      </c>
      <c r="X438" t="s">
        <v>57</v>
      </c>
      <c r="Y438">
        <v>8</v>
      </c>
      <c r="Z438">
        <v>734.04399999999998</v>
      </c>
      <c r="AA438">
        <v>95.163399999999996</v>
      </c>
      <c r="AB438">
        <v>51.296399999999998</v>
      </c>
      <c r="AC438">
        <v>15.238026796929519</v>
      </c>
      <c r="AD438">
        <v>77.871961314536676</v>
      </c>
      <c r="AE438">
        <v>77.871961314536676</v>
      </c>
      <c r="AF438" t="s">
        <v>58</v>
      </c>
      <c r="AG438" t="b">
        <v>1</v>
      </c>
      <c r="AH438">
        <v>5.1103704142473338</v>
      </c>
      <c r="AI438">
        <v>729.17399999999998</v>
      </c>
      <c r="AJ438">
        <v>91.310100000000006</v>
      </c>
      <c r="AK438">
        <v>51.757599999999996</v>
      </c>
      <c r="AL438">
        <v>14.78021673576561</v>
      </c>
      <c r="AM438">
        <v>77.848558687999997</v>
      </c>
      <c r="AN438">
        <v>77.848558687999997</v>
      </c>
      <c r="AO438" t="s">
        <v>58</v>
      </c>
      <c r="AP438" t="b">
        <v>1</v>
      </c>
      <c r="AQ438">
        <v>5.2670782898345259</v>
      </c>
      <c r="AR438">
        <v>734.04399999999998</v>
      </c>
      <c r="AS438">
        <v>77.871961314536676</v>
      </c>
      <c r="AT438">
        <v>5.2670782898345259</v>
      </c>
      <c r="AU438" s="5">
        <v>58.170355101958897</v>
      </c>
      <c r="AV438" s="5">
        <v>83.089382722610637</v>
      </c>
      <c r="AW438" s="5">
        <v>3.9345074825063908</v>
      </c>
      <c r="AX438" s="5">
        <v>5.6199725352534387</v>
      </c>
      <c r="AY438" t="s">
        <v>59</v>
      </c>
      <c r="AZ438" t="s">
        <v>60</v>
      </c>
      <c r="BA438" s="23">
        <f t="shared" si="6"/>
        <v>0</v>
      </c>
      <c r="BB438" s="23">
        <f>IF(AND(ISNUMBER(H438),Metadata!$H$5&gt;Metadata!$G$5),MAX(Metadata!$G$5-H438,0,H438-Metadata!$H$5)/(Metadata!$H$5-Metadata!$G$5),"Missing input")</f>
        <v>0</v>
      </c>
      <c r="BC438" s="23">
        <f>IF(AND(ISNUMBER(L438),Metadata!$H$8&gt;Metadata!$G$8),MAX(Metadata!$G$8-L438,0,L438-Metadata!$H$8)/(Metadata!$H$8-Metadata!$G$8),"Missing input")</f>
        <v>0</v>
      </c>
    </row>
    <row r="439" spans="1:55" x14ac:dyDescent="0.2">
      <c r="A439" t="s">
        <v>526</v>
      </c>
      <c r="B439" t="s">
        <v>509</v>
      </c>
      <c r="C439" t="s">
        <v>466</v>
      </c>
      <c r="D439" t="s">
        <v>55</v>
      </c>
      <c r="E439" t="s">
        <v>467</v>
      </c>
      <c r="F439">
        <v>18</v>
      </c>
      <c r="G439">
        <v>54.165408264435399</v>
      </c>
      <c r="H439">
        <v>18.25275816413232</v>
      </c>
      <c r="I439">
        <v>1.36</v>
      </c>
      <c r="J439">
        <v>1.25</v>
      </c>
      <c r="K439">
        <v>0.54</v>
      </c>
      <c r="L439">
        <v>0.25</v>
      </c>
      <c r="N439">
        <v>125</v>
      </c>
      <c r="O439">
        <v>10</v>
      </c>
      <c r="P439">
        <v>10</v>
      </c>
      <c r="Q439">
        <v>0.53616514621265798</v>
      </c>
      <c r="R439">
        <v>2919725.6187367002</v>
      </c>
      <c r="S439">
        <v>-4.3540451835977984E-3</v>
      </c>
      <c r="T439">
        <v>1306.477074768188</v>
      </c>
      <c r="U439">
        <v>804.44140245145684</v>
      </c>
      <c r="V439">
        <v>289.04360061243102</v>
      </c>
      <c r="W439">
        <v>2.783114383944123</v>
      </c>
      <c r="X439" t="s">
        <v>57</v>
      </c>
      <c r="Y439">
        <v>8</v>
      </c>
      <c r="Z439">
        <v>857.13099999999997</v>
      </c>
      <c r="AA439">
        <v>95.163399999999996</v>
      </c>
      <c r="AB439">
        <v>50.954999999999998</v>
      </c>
      <c r="AC439">
        <v>15.13880387917817</v>
      </c>
      <c r="AD439">
        <v>69.405792986880115</v>
      </c>
      <c r="AE439">
        <v>69.405792986880115</v>
      </c>
      <c r="AF439" t="s">
        <v>58</v>
      </c>
      <c r="AG439" t="b">
        <v>1</v>
      </c>
      <c r="AH439">
        <v>4.584628583658481</v>
      </c>
      <c r="AI439">
        <v>852.024</v>
      </c>
      <c r="AJ439">
        <v>91.310100000000006</v>
      </c>
      <c r="AK439">
        <v>51.070500000000003</v>
      </c>
      <c r="AL439">
        <v>14.81381075553417</v>
      </c>
      <c r="AM439">
        <v>69.262661100812778</v>
      </c>
      <c r="AN439">
        <v>69.262661100812778</v>
      </c>
      <c r="AO439" t="s">
        <v>58</v>
      </c>
      <c r="AP439" t="b">
        <v>1</v>
      </c>
      <c r="AQ439">
        <v>4.6755465048004288</v>
      </c>
      <c r="AR439">
        <v>857.13099999999997</v>
      </c>
      <c r="AS439">
        <v>69.405792986880115</v>
      </c>
      <c r="AT439">
        <v>4.6755465048004288</v>
      </c>
      <c r="AU439" s="5">
        <v>51.846127361199443</v>
      </c>
      <c r="AV439" s="5">
        <v>74.055981117001082</v>
      </c>
      <c r="AW439" s="5">
        <v>3.4926332390859205</v>
      </c>
      <c r="AX439" s="5">
        <v>4.9888081206220569</v>
      </c>
      <c r="AY439" t="s">
        <v>59</v>
      </c>
      <c r="AZ439" t="s">
        <v>60</v>
      </c>
      <c r="BA439" s="23">
        <f t="shared" si="6"/>
        <v>0</v>
      </c>
      <c r="BB439" s="23">
        <f>IF(AND(ISNUMBER(H439),Metadata!$H$5&gt;Metadata!$G$5),MAX(Metadata!$G$5-H439,0,H439-Metadata!$H$5)/(Metadata!$H$5-Metadata!$G$5),"Missing input")</f>
        <v>0</v>
      </c>
      <c r="BC439" s="23">
        <f>IF(AND(ISNUMBER(L439),Metadata!$H$8&gt;Metadata!$G$8),MAX(Metadata!$G$8-L439,0,L439-Metadata!$H$8)/(Metadata!$H$8-Metadata!$G$8),"Missing input")</f>
        <v>0</v>
      </c>
    </row>
    <row r="440" spans="1:55" x14ac:dyDescent="0.2">
      <c r="A440" t="s">
        <v>527</v>
      </c>
      <c r="B440" t="s">
        <v>509</v>
      </c>
      <c r="C440" t="s">
        <v>466</v>
      </c>
      <c r="D440" t="s">
        <v>55</v>
      </c>
      <c r="E440" t="s">
        <v>467</v>
      </c>
      <c r="F440">
        <v>19</v>
      </c>
      <c r="G440">
        <v>21.707483118551171</v>
      </c>
      <c r="H440">
        <v>43.497365085878002</v>
      </c>
      <c r="I440">
        <v>1.36</v>
      </c>
      <c r="J440">
        <v>1.25</v>
      </c>
      <c r="K440">
        <v>0.54</v>
      </c>
      <c r="L440">
        <v>0.25</v>
      </c>
      <c r="N440">
        <v>125</v>
      </c>
      <c r="O440">
        <v>10</v>
      </c>
      <c r="P440">
        <v>10</v>
      </c>
      <c r="Q440">
        <v>0.53616514621265798</v>
      </c>
      <c r="R440">
        <v>2786376.2799094608</v>
      </c>
      <c r="S440">
        <v>-5.7968447926618517E-3</v>
      </c>
      <c r="T440">
        <v>1382.8957020636219</v>
      </c>
      <c r="U440">
        <v>669.89609780516332</v>
      </c>
      <c r="V440">
        <v>305.9503765627482</v>
      </c>
      <c r="W440">
        <v>2.1895580104565502</v>
      </c>
      <c r="X440" t="s">
        <v>57</v>
      </c>
      <c r="Y440">
        <v>8</v>
      </c>
      <c r="Z440">
        <v>573.22</v>
      </c>
      <c r="AA440">
        <v>95.163399999999996</v>
      </c>
      <c r="AB440">
        <v>29.498000000000001</v>
      </c>
      <c r="AC440">
        <v>13.990211913912381</v>
      </c>
      <c r="AD440">
        <v>32.977805235078357</v>
      </c>
      <c r="AE440">
        <v>32.977805235078357</v>
      </c>
      <c r="AF440" t="s">
        <v>58</v>
      </c>
      <c r="AG440" t="b">
        <v>1</v>
      </c>
      <c r="AH440">
        <v>2.3572055547124369</v>
      </c>
      <c r="AI440">
        <v>583.70399999999995</v>
      </c>
      <c r="AJ440">
        <v>91.310100000000006</v>
      </c>
      <c r="AK440">
        <v>30.788900000000002</v>
      </c>
      <c r="AL440">
        <v>13.78823032002639</v>
      </c>
      <c r="AM440">
        <v>32.295101613785363</v>
      </c>
      <c r="AN440">
        <v>32.295101613785363</v>
      </c>
      <c r="AO440" t="s">
        <v>58</v>
      </c>
      <c r="AP440" t="b">
        <v>1</v>
      </c>
      <c r="AQ440">
        <v>2.342222378377238</v>
      </c>
      <c r="AR440">
        <v>583.70399999999995</v>
      </c>
      <c r="AS440">
        <v>32.977805235078357</v>
      </c>
      <c r="AT440">
        <v>2.3572055547124369</v>
      </c>
      <c r="AU440" s="5">
        <v>24.634420510603533</v>
      </c>
      <c r="AV440" s="5">
        <v>35.187318185828602</v>
      </c>
      <c r="AW440" s="5">
        <v>1.7608325493701904</v>
      </c>
      <c r="AX440" s="5">
        <v>2.5151383268781702</v>
      </c>
      <c r="AY440" t="s">
        <v>64</v>
      </c>
      <c r="AZ440" t="s">
        <v>7</v>
      </c>
      <c r="BA440" s="23">
        <f t="shared" si="6"/>
        <v>9.4596678167087334E-2</v>
      </c>
      <c r="BB440" s="23">
        <f>IF(AND(ISNUMBER(H440),Metadata!$H$5&gt;Metadata!$G$5),MAX(Metadata!$G$5-H440,0,H440-Metadata!$H$5)/(Metadata!$H$5-Metadata!$G$5),"Missing input")</f>
        <v>9.4596678167087334E-2</v>
      </c>
      <c r="BC440" s="23">
        <f>IF(AND(ISNUMBER(L440),Metadata!$H$8&gt;Metadata!$G$8),MAX(Metadata!$G$8-L440,0,L440-Metadata!$H$8)/(Metadata!$H$8-Metadata!$G$8),"Missing input")</f>
        <v>0</v>
      </c>
    </row>
    <row r="441" spans="1:55" x14ac:dyDescent="0.2">
      <c r="A441" t="s">
        <v>528</v>
      </c>
      <c r="B441" t="s">
        <v>509</v>
      </c>
      <c r="C441" t="s">
        <v>466</v>
      </c>
      <c r="D441" t="s">
        <v>55</v>
      </c>
      <c r="E441" t="s">
        <v>467</v>
      </c>
      <c r="F441">
        <v>20</v>
      </c>
      <c r="G441">
        <v>53.035991243371583</v>
      </c>
      <c r="H441">
        <v>30.34654288470276</v>
      </c>
      <c r="I441">
        <v>1.36</v>
      </c>
      <c r="J441">
        <v>1.25</v>
      </c>
      <c r="K441">
        <v>0.54</v>
      </c>
      <c r="L441">
        <v>0.25</v>
      </c>
      <c r="N441">
        <v>125</v>
      </c>
      <c r="O441">
        <v>10</v>
      </c>
      <c r="P441">
        <v>10</v>
      </c>
      <c r="Q441">
        <v>0.53616514621265798</v>
      </c>
      <c r="R441">
        <v>4782098.2730990862</v>
      </c>
      <c r="S441">
        <v>-5.5461306103231573E-3</v>
      </c>
      <c r="T441">
        <v>2120.3771033682092</v>
      </c>
      <c r="U441">
        <v>800.59853302729891</v>
      </c>
      <c r="V441">
        <v>469.10997862128528</v>
      </c>
      <c r="W441">
        <v>1.7066329208776561</v>
      </c>
      <c r="X441" t="s">
        <v>57</v>
      </c>
      <c r="Y441">
        <v>8</v>
      </c>
      <c r="Z441">
        <v>1023.72</v>
      </c>
      <c r="AA441">
        <v>95.163399999999996</v>
      </c>
      <c r="AB441">
        <v>37.809100000000001</v>
      </c>
      <c r="AC441">
        <v>15.26951359561753</v>
      </c>
      <c r="AD441">
        <v>42.94340066030918</v>
      </c>
      <c r="AE441">
        <v>42.94340066030918</v>
      </c>
      <c r="AF441" t="s">
        <v>58</v>
      </c>
      <c r="AG441" t="b">
        <v>1</v>
      </c>
      <c r="AH441">
        <v>2.8123620566822951</v>
      </c>
      <c r="AI441">
        <v>1022.01</v>
      </c>
      <c r="AJ441">
        <v>91.310100000000006</v>
      </c>
      <c r="AK441">
        <v>38.051000000000002</v>
      </c>
      <c r="AL441">
        <v>14.837493530969841</v>
      </c>
      <c r="AM441">
        <v>41.584800442841932</v>
      </c>
      <c r="AN441">
        <v>41.584800442841932</v>
      </c>
      <c r="AO441" t="s">
        <v>58</v>
      </c>
      <c r="AP441" t="b">
        <v>1</v>
      </c>
      <c r="AQ441">
        <v>2.802683644379913</v>
      </c>
      <c r="AR441">
        <v>1023.72</v>
      </c>
      <c r="AS441">
        <v>42.94340066030918</v>
      </c>
      <c r="AT441">
        <v>2.8123620566822951</v>
      </c>
      <c r="AU441" s="5">
        <v>32.07872029325096</v>
      </c>
      <c r="AV441" s="5">
        <v>45.820608504549895</v>
      </c>
      <c r="AW441" s="5">
        <v>2.1008344563416745</v>
      </c>
      <c r="AX441" s="5">
        <v>3.0007903144800085</v>
      </c>
      <c r="AY441" t="s">
        <v>59</v>
      </c>
      <c r="AZ441" t="s">
        <v>60</v>
      </c>
      <c r="BA441" s="23">
        <f t="shared" si="6"/>
        <v>0</v>
      </c>
      <c r="BB441" s="23">
        <f>IF(AND(ISNUMBER(H441),Metadata!$H$5&gt;Metadata!$G$5),MAX(Metadata!$G$5-H441,0,H441-Metadata!$H$5)/(Metadata!$H$5-Metadata!$G$5),"Missing input")</f>
        <v>0</v>
      </c>
      <c r="BC441" s="23">
        <f>IF(AND(ISNUMBER(L441),Metadata!$H$8&gt;Metadata!$G$8),MAX(Metadata!$G$8-L441,0,L441-Metadata!$H$8)/(Metadata!$H$8-Metadata!$G$8),"Missing input")</f>
        <v>0</v>
      </c>
    </row>
    <row r="442" spans="1:55" x14ac:dyDescent="0.2">
      <c r="A442" t="s">
        <v>529</v>
      </c>
      <c r="B442" t="s">
        <v>530</v>
      </c>
      <c r="C442" t="s">
        <v>466</v>
      </c>
      <c r="D442" t="s">
        <v>55</v>
      </c>
      <c r="E442" t="s">
        <v>467</v>
      </c>
      <c r="F442">
        <v>1</v>
      </c>
      <c r="G442">
        <v>22.11413992487228</v>
      </c>
      <c r="H442">
        <v>28.832065765515338</v>
      </c>
      <c r="I442">
        <v>1.95</v>
      </c>
      <c r="J442">
        <v>1.8</v>
      </c>
      <c r="K442">
        <v>0.54</v>
      </c>
      <c r="L442">
        <v>0.25</v>
      </c>
      <c r="N442">
        <v>125</v>
      </c>
      <c r="O442">
        <v>12</v>
      </c>
      <c r="P442">
        <v>10</v>
      </c>
      <c r="Q442">
        <v>0.53616514621265798</v>
      </c>
      <c r="R442">
        <v>1866510.334985178</v>
      </c>
      <c r="S442">
        <v>-6.1051252285061518E-3</v>
      </c>
      <c r="T442">
        <v>1160.560984287582</v>
      </c>
      <c r="U442">
        <v>672.06023102885479</v>
      </c>
      <c r="V442">
        <v>256.76127970964188</v>
      </c>
      <c r="W442">
        <v>2.6174516336297011</v>
      </c>
      <c r="X442" t="s">
        <v>57</v>
      </c>
      <c r="Y442">
        <v>8</v>
      </c>
      <c r="Z442">
        <v>643.53300000000002</v>
      </c>
      <c r="AA442">
        <v>95.163399999999996</v>
      </c>
      <c r="AB442">
        <v>42.519599999999997</v>
      </c>
      <c r="AC442">
        <v>18.086857414672419</v>
      </c>
      <c r="AD442">
        <v>51.546234819973719</v>
      </c>
      <c r="AE442">
        <v>51.546234819973719</v>
      </c>
      <c r="AF442" t="s">
        <v>58</v>
      </c>
      <c r="AG442" t="b">
        <v>1</v>
      </c>
      <c r="AH442">
        <v>2.849927637410266</v>
      </c>
      <c r="AI442">
        <v>641.24900000000002</v>
      </c>
      <c r="AJ442">
        <v>91.310100000000006</v>
      </c>
      <c r="AK442">
        <v>39.358900000000013</v>
      </c>
      <c r="AL442">
        <v>17.825485101010099</v>
      </c>
      <c r="AM442">
        <v>51.865137630040707</v>
      </c>
      <c r="AN442">
        <v>51.865137630040707</v>
      </c>
      <c r="AO442" t="s">
        <v>58</v>
      </c>
      <c r="AP442" t="b">
        <v>1</v>
      </c>
      <c r="AQ442">
        <v>2.909605956648087</v>
      </c>
      <c r="AR442">
        <v>643.53300000000002</v>
      </c>
      <c r="AS442">
        <v>51.865137630040707</v>
      </c>
      <c r="AT442">
        <v>2.909605956648087</v>
      </c>
      <c r="AU442" s="5">
        <v>38.743257809640404</v>
      </c>
      <c r="AV442" s="5">
        <v>55.340101851253429</v>
      </c>
      <c r="AW442" s="5">
        <v>2.1734756496161212</v>
      </c>
      <c r="AX442" s="5">
        <v>3.1045495557435085</v>
      </c>
      <c r="AY442" t="s">
        <v>59</v>
      </c>
      <c r="AZ442" t="s">
        <v>60</v>
      </c>
      <c r="BA442" s="23">
        <f t="shared" si="6"/>
        <v>0</v>
      </c>
      <c r="BB442" s="23">
        <f>IF(AND(ISNUMBER(H442),Metadata!$H$5&gt;Metadata!$G$5),MAX(Metadata!$G$5-H442,0,H442-Metadata!$H$5)/(Metadata!$H$5-Metadata!$G$5),"Missing input")</f>
        <v>0</v>
      </c>
      <c r="BC442" s="23">
        <f>IF(AND(ISNUMBER(L442),Metadata!$H$8&gt;Metadata!$G$8),MAX(Metadata!$G$8-L442,0,L442-Metadata!$H$8)/(Metadata!$H$8-Metadata!$G$8),"Missing input")</f>
        <v>0</v>
      </c>
    </row>
    <row r="443" spans="1:55" x14ac:dyDescent="0.2">
      <c r="A443" t="s">
        <v>531</v>
      </c>
      <c r="B443" t="s">
        <v>530</v>
      </c>
      <c r="C443" t="s">
        <v>466</v>
      </c>
      <c r="D443" t="s">
        <v>55</v>
      </c>
      <c r="E443" t="s">
        <v>467</v>
      </c>
      <c r="F443">
        <v>2</v>
      </c>
      <c r="G443">
        <v>39.289372610104301</v>
      </c>
      <c r="H443">
        <v>11.43599740060767</v>
      </c>
      <c r="I443">
        <v>1.95</v>
      </c>
      <c r="J443">
        <v>1.8</v>
      </c>
      <c r="K443">
        <v>0.54</v>
      </c>
      <c r="L443">
        <v>0.25</v>
      </c>
      <c r="N443">
        <v>125</v>
      </c>
      <c r="O443">
        <v>12</v>
      </c>
      <c r="P443">
        <v>10</v>
      </c>
      <c r="Q443">
        <v>0.53616514621265798</v>
      </c>
      <c r="R443">
        <v>1301660.814121977</v>
      </c>
      <c r="S443">
        <v>-3.6427646779320839E-3</v>
      </c>
      <c r="T443">
        <v>914.31730035132989</v>
      </c>
      <c r="U443">
        <v>750.05745558684532</v>
      </c>
      <c r="V443">
        <v>202.28258857330309</v>
      </c>
      <c r="W443">
        <v>3.7079684459102111</v>
      </c>
      <c r="X443" t="s">
        <v>57</v>
      </c>
      <c r="Y443">
        <v>8</v>
      </c>
      <c r="Z443">
        <v>657.21600000000001</v>
      </c>
      <c r="AA443">
        <v>95.167699999999996</v>
      </c>
      <c r="AB443">
        <v>64.5749</v>
      </c>
      <c r="AC443">
        <v>16.756718796736919</v>
      </c>
      <c r="AE443">
        <v>95.167699999999996</v>
      </c>
      <c r="AF443" t="s">
        <v>62</v>
      </c>
      <c r="AG443" t="b">
        <v>0</v>
      </c>
      <c r="AH443">
        <v>5.6793756077432223</v>
      </c>
      <c r="AI443">
        <v>652.95100000000002</v>
      </c>
      <c r="AJ443">
        <v>91.305800000000005</v>
      </c>
      <c r="AK443">
        <v>63.951800000000013</v>
      </c>
      <c r="AL443">
        <v>16.25429937983462</v>
      </c>
      <c r="AM443">
        <v>78.469423592785176</v>
      </c>
      <c r="AN443">
        <v>78.469423592785176</v>
      </c>
      <c r="AO443" t="s">
        <v>58</v>
      </c>
      <c r="AP443" t="b">
        <v>1</v>
      </c>
      <c r="AQ443">
        <v>4.8276103299866469</v>
      </c>
      <c r="AR443">
        <v>657.21600000000001</v>
      </c>
      <c r="AS443">
        <v>95.167699999999996</v>
      </c>
      <c r="AT443">
        <v>5.6793756077432223</v>
      </c>
      <c r="AU443" s="5">
        <v>71.090271899999991</v>
      </c>
      <c r="AV443" s="5">
        <v>101.54393589999999</v>
      </c>
      <c r="AW443" s="5">
        <v>4.2424935789841873</v>
      </c>
      <c r="AX443" s="5">
        <v>6.0598937734620177</v>
      </c>
      <c r="AY443" t="s">
        <v>59</v>
      </c>
      <c r="AZ443" t="s">
        <v>60</v>
      </c>
      <c r="BA443" s="23">
        <f t="shared" si="6"/>
        <v>0</v>
      </c>
      <c r="BB443" s="23">
        <f>IF(AND(ISNUMBER(H443),Metadata!$H$5&gt;Metadata!$G$5),MAX(Metadata!$G$5-H443,0,H443-Metadata!$H$5)/(Metadata!$H$5-Metadata!$G$5),"Missing input")</f>
        <v>0</v>
      </c>
      <c r="BC443" s="23">
        <f>IF(AND(ISNUMBER(L443),Metadata!$H$8&gt;Metadata!$G$8),MAX(Metadata!$G$8-L443,0,L443-Metadata!$H$8)/(Metadata!$H$8-Metadata!$G$8),"Missing input")</f>
        <v>0</v>
      </c>
    </row>
    <row r="444" spans="1:55" x14ac:dyDescent="0.2">
      <c r="A444" t="s">
        <v>532</v>
      </c>
      <c r="B444" t="s">
        <v>530</v>
      </c>
      <c r="C444" t="s">
        <v>466</v>
      </c>
      <c r="D444" t="s">
        <v>55</v>
      </c>
      <c r="E444" t="s">
        <v>467</v>
      </c>
      <c r="F444">
        <v>3</v>
      </c>
      <c r="G444">
        <v>50.720967279676117</v>
      </c>
      <c r="H444">
        <v>41.572102032205443</v>
      </c>
      <c r="I444">
        <v>1.95</v>
      </c>
      <c r="J444">
        <v>1.8</v>
      </c>
      <c r="K444">
        <v>0.54</v>
      </c>
      <c r="L444">
        <v>0.25</v>
      </c>
      <c r="N444">
        <v>125</v>
      </c>
      <c r="O444">
        <v>12</v>
      </c>
      <c r="P444">
        <v>10</v>
      </c>
      <c r="Q444">
        <v>0.53616514621265798</v>
      </c>
      <c r="R444">
        <v>6279453.0057685468</v>
      </c>
      <c r="S444">
        <v>-6.6317201118190191E-3</v>
      </c>
      <c r="T444">
        <v>3021.5838064359782</v>
      </c>
      <c r="U444">
        <v>792.59154081609961</v>
      </c>
      <c r="V444">
        <v>668.49199257433145</v>
      </c>
      <c r="W444">
        <v>1.1856410392649079</v>
      </c>
      <c r="X444" t="s">
        <v>57</v>
      </c>
      <c r="Y444">
        <v>8</v>
      </c>
      <c r="Z444">
        <v>1128.6300000000001</v>
      </c>
      <c r="AA444">
        <v>95.163399999999996</v>
      </c>
      <c r="AB444">
        <v>34.031300000000002</v>
      </c>
      <c r="AC444">
        <v>16.123616670201489</v>
      </c>
      <c r="AD444">
        <v>36.970411917410857</v>
      </c>
      <c r="AE444">
        <v>36.970411917410857</v>
      </c>
      <c r="AF444" t="s">
        <v>58</v>
      </c>
      <c r="AG444" t="b">
        <v>1</v>
      </c>
      <c r="AH444">
        <v>2.2929354296630562</v>
      </c>
      <c r="AI444">
        <v>1122.94</v>
      </c>
      <c r="AJ444">
        <v>91.310100000000006</v>
      </c>
      <c r="AK444">
        <v>32.289299999999997</v>
      </c>
      <c r="AL444">
        <v>15.146348098394981</v>
      </c>
      <c r="AM444">
        <v>36.159196005270758</v>
      </c>
      <c r="AN444">
        <v>36.159196005270758</v>
      </c>
      <c r="AO444" t="s">
        <v>58</v>
      </c>
      <c r="AP444" t="b">
        <v>1</v>
      </c>
      <c r="AQ444">
        <v>2.3873210737248578</v>
      </c>
      <c r="AR444">
        <v>1128.6300000000001</v>
      </c>
      <c r="AS444">
        <v>36.970411917410857</v>
      </c>
      <c r="AT444">
        <v>2.3873210737248578</v>
      </c>
      <c r="AU444" s="5">
        <v>27.616897702305909</v>
      </c>
      <c r="AV444" s="5">
        <v>39.447429515877381</v>
      </c>
      <c r="AW444" s="5">
        <v>1.7833288420724687</v>
      </c>
      <c r="AX444" s="5">
        <v>2.547271585664423</v>
      </c>
      <c r="AY444" t="s">
        <v>64</v>
      </c>
      <c r="AZ444" t="s">
        <v>7</v>
      </c>
      <c r="BA444" s="23">
        <f t="shared" si="6"/>
        <v>4.6063612035701466E-2</v>
      </c>
      <c r="BB444" s="23">
        <f>IF(AND(ISNUMBER(H444),Metadata!$H$5&gt;Metadata!$G$5),MAX(Metadata!$G$5-H444,0,H444-Metadata!$H$5)/(Metadata!$H$5-Metadata!$G$5),"Missing input")</f>
        <v>4.6063612035701466E-2</v>
      </c>
      <c r="BC444" s="23">
        <f>IF(AND(ISNUMBER(L444),Metadata!$H$8&gt;Metadata!$G$8),MAX(Metadata!$G$8-L444,0,L444-Metadata!$H$8)/(Metadata!$H$8-Metadata!$G$8),"Missing input")</f>
        <v>0</v>
      </c>
    </row>
    <row r="445" spans="1:55" x14ac:dyDescent="0.2">
      <c r="A445" t="s">
        <v>533</v>
      </c>
      <c r="B445" t="s">
        <v>530</v>
      </c>
      <c r="C445" t="s">
        <v>466</v>
      </c>
      <c r="D445" t="s">
        <v>55</v>
      </c>
      <c r="E445" t="s">
        <v>467</v>
      </c>
      <c r="F445">
        <v>4</v>
      </c>
      <c r="G445">
        <v>40.065365059576777</v>
      </c>
      <c r="H445">
        <v>25.23064360495534</v>
      </c>
      <c r="I445">
        <v>1.95</v>
      </c>
      <c r="J445">
        <v>1.8</v>
      </c>
      <c r="K445">
        <v>0.54</v>
      </c>
      <c r="L445">
        <v>0.25</v>
      </c>
      <c r="N445">
        <v>125</v>
      </c>
      <c r="O445">
        <v>12</v>
      </c>
      <c r="P445">
        <v>10</v>
      </c>
      <c r="Q445">
        <v>0.53616514621265798</v>
      </c>
      <c r="R445">
        <v>2986346.165161836</v>
      </c>
      <c r="S445">
        <v>-5.7395508038436084E-3</v>
      </c>
      <c r="T445">
        <v>1553.7448162312919</v>
      </c>
      <c r="U445">
        <v>753.12627800274458</v>
      </c>
      <c r="V445">
        <v>343.74885314851599</v>
      </c>
      <c r="W445">
        <v>2.1909201182915892</v>
      </c>
      <c r="X445" t="s">
        <v>57</v>
      </c>
      <c r="Y445">
        <v>8</v>
      </c>
      <c r="Z445">
        <v>871.15599999999995</v>
      </c>
      <c r="AA445">
        <v>95.163399999999996</v>
      </c>
      <c r="AB445">
        <v>44.910200000000003</v>
      </c>
      <c r="AC445">
        <v>17.248816979390959</v>
      </c>
      <c r="AD445">
        <v>57.187706819461198</v>
      </c>
      <c r="AE445">
        <v>57.187706819461198</v>
      </c>
      <c r="AF445" t="s">
        <v>58</v>
      </c>
      <c r="AG445" t="b">
        <v>1</v>
      </c>
      <c r="AH445">
        <v>3.3154567578628491</v>
      </c>
      <c r="AI445">
        <v>867.66600000000005</v>
      </c>
      <c r="AJ445">
        <v>91.310100000000006</v>
      </c>
      <c r="AK445">
        <v>46.261299999999999</v>
      </c>
      <c r="AL445">
        <v>16.957504652313791</v>
      </c>
      <c r="AM445">
        <v>56.823578041485767</v>
      </c>
      <c r="AN445">
        <v>56.823578041485767</v>
      </c>
      <c r="AO445" t="s">
        <v>58</v>
      </c>
      <c r="AP445" t="b">
        <v>1</v>
      </c>
      <c r="AQ445">
        <v>3.3509398467853231</v>
      </c>
      <c r="AR445">
        <v>871.15599999999995</v>
      </c>
      <c r="AS445">
        <v>57.187706819461198</v>
      </c>
      <c r="AT445">
        <v>3.3509398467853231</v>
      </c>
      <c r="AU445" s="5">
        <v>42.719216994137511</v>
      </c>
      <c r="AV445" s="5">
        <v>61.019283176365093</v>
      </c>
      <c r="AW445" s="5">
        <v>2.5031520655486363</v>
      </c>
      <c r="AX445" s="5">
        <v>3.5754528165199395</v>
      </c>
      <c r="AY445" t="s">
        <v>59</v>
      </c>
      <c r="AZ445" t="s">
        <v>60</v>
      </c>
      <c r="BA445" s="23">
        <f t="shared" si="6"/>
        <v>0</v>
      </c>
      <c r="BB445" s="23">
        <f>IF(AND(ISNUMBER(H445),Metadata!$H$5&gt;Metadata!$G$5),MAX(Metadata!$G$5-H445,0,H445-Metadata!$H$5)/(Metadata!$H$5-Metadata!$G$5),"Missing input")</f>
        <v>0</v>
      </c>
      <c r="BC445" s="23">
        <f>IF(AND(ISNUMBER(L445),Metadata!$H$8&gt;Metadata!$G$8),MAX(Metadata!$G$8-L445,0,L445-Metadata!$H$8)/(Metadata!$H$8-Metadata!$G$8),"Missing input")</f>
        <v>0</v>
      </c>
    </row>
    <row r="446" spans="1:55" x14ac:dyDescent="0.2">
      <c r="A446" t="s">
        <v>534</v>
      </c>
      <c r="B446" t="s">
        <v>530</v>
      </c>
      <c r="C446" t="s">
        <v>466</v>
      </c>
      <c r="D446" t="s">
        <v>55</v>
      </c>
      <c r="E446" t="s">
        <v>467</v>
      </c>
      <c r="F446">
        <v>5</v>
      </c>
      <c r="G446">
        <v>44.691650234033148</v>
      </c>
      <c r="H446">
        <v>35.278860063057749</v>
      </c>
      <c r="I446">
        <v>1.95</v>
      </c>
      <c r="J446">
        <v>1.8</v>
      </c>
      <c r="K446">
        <v>0.54</v>
      </c>
      <c r="L446">
        <v>0.25</v>
      </c>
      <c r="N446">
        <v>125</v>
      </c>
      <c r="O446">
        <v>12</v>
      </c>
      <c r="P446">
        <v>10</v>
      </c>
      <c r="Q446">
        <v>0.53616514621265798</v>
      </c>
      <c r="R446">
        <v>4683732.748780732</v>
      </c>
      <c r="S446">
        <v>-6.5113764550742354E-3</v>
      </c>
      <c r="T446">
        <v>2290.0414168741781</v>
      </c>
      <c r="U446">
        <v>770.83560231362162</v>
      </c>
      <c r="V446">
        <v>506.64633116685349</v>
      </c>
      <c r="W446">
        <v>1.521447121778847</v>
      </c>
      <c r="X446" t="s">
        <v>57</v>
      </c>
      <c r="Y446">
        <v>8</v>
      </c>
      <c r="Z446">
        <v>1015.17</v>
      </c>
      <c r="AA446">
        <v>95.163399999999996</v>
      </c>
      <c r="AB446">
        <v>37.809100000000001</v>
      </c>
      <c r="AC446">
        <v>16.683249794976931</v>
      </c>
      <c r="AD446">
        <v>42.448013306436117</v>
      </c>
      <c r="AE446">
        <v>42.448013306436117</v>
      </c>
      <c r="AF446" t="s">
        <v>58</v>
      </c>
      <c r="AG446" t="b">
        <v>1</v>
      </c>
      <c r="AH446">
        <v>2.544349202228966</v>
      </c>
      <c r="AI446">
        <v>1010.85</v>
      </c>
      <c r="AJ446">
        <v>91.310100000000006</v>
      </c>
      <c r="AK446">
        <v>37.789400000000001</v>
      </c>
      <c r="AL446">
        <v>16.133573478712361</v>
      </c>
      <c r="AM446">
        <v>41.026316534252743</v>
      </c>
      <c r="AN446">
        <v>41.026316534252743</v>
      </c>
      <c r="AO446" t="s">
        <v>58</v>
      </c>
      <c r="AP446" t="b">
        <v>1</v>
      </c>
      <c r="AQ446">
        <v>2.5429156527774461</v>
      </c>
      <c r="AR446">
        <v>1015.17</v>
      </c>
      <c r="AS446">
        <v>42.448013306436117</v>
      </c>
      <c r="AT446">
        <v>2.544349202228966</v>
      </c>
      <c r="AU446" s="5">
        <v>31.708665939907778</v>
      </c>
      <c r="AV446" s="5">
        <v>45.292030197967335</v>
      </c>
      <c r="AW446" s="5">
        <v>1.9006288540650376</v>
      </c>
      <c r="AX446" s="5">
        <v>2.7148205987783065</v>
      </c>
      <c r="AY446" t="s">
        <v>59</v>
      </c>
      <c r="AZ446" t="s">
        <v>60</v>
      </c>
      <c r="BA446" s="23">
        <f t="shared" si="6"/>
        <v>0</v>
      </c>
      <c r="BB446" s="23">
        <f>IF(AND(ISNUMBER(H446),Metadata!$H$5&gt;Metadata!$G$5),MAX(Metadata!$G$5-H446,0,H446-Metadata!$H$5)/(Metadata!$H$5-Metadata!$G$5),"Missing input")</f>
        <v>0</v>
      </c>
      <c r="BC446" s="23">
        <f>IF(AND(ISNUMBER(L446),Metadata!$H$8&gt;Metadata!$G$8),MAX(Metadata!$G$8-L446,0,L446-Metadata!$H$8)/(Metadata!$H$8-Metadata!$G$8),"Missing input")</f>
        <v>0</v>
      </c>
    </row>
    <row r="447" spans="1:55" x14ac:dyDescent="0.2">
      <c r="A447" t="s">
        <v>535</v>
      </c>
      <c r="B447" t="s">
        <v>530</v>
      </c>
      <c r="C447" t="s">
        <v>466</v>
      </c>
      <c r="D447" t="s">
        <v>55</v>
      </c>
      <c r="E447" t="s">
        <v>467</v>
      </c>
      <c r="F447">
        <v>6</v>
      </c>
      <c r="G447">
        <v>33.086500490231572</v>
      </c>
      <c r="H447">
        <v>19.79580616436397</v>
      </c>
      <c r="I447">
        <v>1.95</v>
      </c>
      <c r="J447">
        <v>1.8</v>
      </c>
      <c r="K447">
        <v>0.54</v>
      </c>
      <c r="L447">
        <v>0.25</v>
      </c>
      <c r="N447">
        <v>125</v>
      </c>
      <c r="O447">
        <v>12</v>
      </c>
      <c r="P447">
        <v>10</v>
      </c>
      <c r="Q447">
        <v>0.53616514621265798</v>
      </c>
      <c r="R447">
        <v>1918643.176085273</v>
      </c>
      <c r="S447">
        <v>-5.0115113264716073E-3</v>
      </c>
      <c r="T447">
        <v>1145.9615505378081</v>
      </c>
      <c r="U447">
        <v>724.34809556380162</v>
      </c>
      <c r="V447">
        <v>253.53131649066549</v>
      </c>
      <c r="W447">
        <v>2.857035989045047</v>
      </c>
      <c r="X447" t="s">
        <v>57</v>
      </c>
      <c r="Y447">
        <v>8</v>
      </c>
      <c r="Z447">
        <v>725.91</v>
      </c>
      <c r="AA447">
        <v>95.163399999999996</v>
      </c>
      <c r="AB447">
        <v>51.296399999999998</v>
      </c>
      <c r="AC447">
        <v>17.61823174713442</v>
      </c>
      <c r="AD447">
        <v>73.594422490298641</v>
      </c>
      <c r="AE447">
        <v>73.594422490298641</v>
      </c>
      <c r="AF447" t="s">
        <v>58</v>
      </c>
      <c r="AG447" t="b">
        <v>1</v>
      </c>
      <c r="AH447">
        <v>4.1771741651808307</v>
      </c>
      <c r="AI447">
        <v>719.31600000000003</v>
      </c>
      <c r="AJ447">
        <v>91.310100000000006</v>
      </c>
      <c r="AK447">
        <v>51.757599999999996</v>
      </c>
      <c r="AL447">
        <v>17.119324174917491</v>
      </c>
      <c r="AM447">
        <v>73.229351596877223</v>
      </c>
      <c r="AN447">
        <v>73.229351596877223</v>
      </c>
      <c r="AO447" t="s">
        <v>58</v>
      </c>
      <c r="AP447" t="b">
        <v>1</v>
      </c>
      <c r="AQ447">
        <v>4.2775842579212187</v>
      </c>
      <c r="AR447">
        <v>725.91</v>
      </c>
      <c r="AS447">
        <v>73.594422490298641</v>
      </c>
      <c r="AT447">
        <v>4.2775842579212187</v>
      </c>
      <c r="AU447" s="5">
        <v>54.975033600253084</v>
      </c>
      <c r="AV447" s="5">
        <v>78.525248797148649</v>
      </c>
      <c r="AW447" s="5">
        <v>3.1953554406671505</v>
      </c>
      <c r="AX447" s="5">
        <v>4.56418240320194</v>
      </c>
      <c r="AY447" t="s">
        <v>59</v>
      </c>
      <c r="AZ447" t="s">
        <v>60</v>
      </c>
      <c r="BA447" s="23">
        <f t="shared" si="6"/>
        <v>0</v>
      </c>
      <c r="BB447" s="23">
        <f>IF(AND(ISNUMBER(H447),Metadata!$H$5&gt;Metadata!$G$5),MAX(Metadata!$G$5-H447,0,H447-Metadata!$H$5)/(Metadata!$H$5-Metadata!$G$5),"Missing input")</f>
        <v>0</v>
      </c>
      <c r="BC447" s="23">
        <f>IF(AND(ISNUMBER(L447),Metadata!$H$8&gt;Metadata!$G$8),MAX(Metadata!$G$8-L447,0,L447-Metadata!$H$8)/(Metadata!$H$8-Metadata!$G$8),"Missing input")</f>
        <v>0</v>
      </c>
    </row>
    <row r="448" spans="1:55" x14ac:dyDescent="0.2">
      <c r="A448" t="s">
        <v>536</v>
      </c>
      <c r="B448" t="s">
        <v>530</v>
      </c>
      <c r="C448" t="s">
        <v>466</v>
      </c>
      <c r="D448" t="s">
        <v>55</v>
      </c>
      <c r="E448" t="s">
        <v>467</v>
      </c>
      <c r="F448">
        <v>7</v>
      </c>
      <c r="G448">
        <v>42.943727860216583</v>
      </c>
      <c r="H448">
        <v>31.604415760045629</v>
      </c>
      <c r="I448">
        <v>1.95</v>
      </c>
      <c r="J448">
        <v>1.8</v>
      </c>
      <c r="K448">
        <v>0.54</v>
      </c>
      <c r="L448">
        <v>0.25</v>
      </c>
      <c r="N448">
        <v>125</v>
      </c>
      <c r="O448">
        <v>12</v>
      </c>
      <c r="P448">
        <v>10</v>
      </c>
      <c r="Q448">
        <v>0.53616514621265798</v>
      </c>
      <c r="R448">
        <v>4025355.613741619</v>
      </c>
      <c r="S448">
        <v>-6.3180374820886323E-3</v>
      </c>
      <c r="T448">
        <v>1996.1572079560169</v>
      </c>
      <c r="U448">
        <v>764.25751687900618</v>
      </c>
      <c r="V448">
        <v>441.62770087522512</v>
      </c>
      <c r="W448">
        <v>1.7305470543726951</v>
      </c>
      <c r="X448" t="s">
        <v>57</v>
      </c>
      <c r="Y448">
        <v>8</v>
      </c>
      <c r="Z448">
        <v>963.08900000000006</v>
      </c>
      <c r="AA448">
        <v>95.163399999999996</v>
      </c>
      <c r="AB448">
        <v>40.726599999999998</v>
      </c>
      <c r="AC448">
        <v>16.825522658175849</v>
      </c>
      <c r="AD448">
        <v>46.06203769230769</v>
      </c>
      <c r="AE448">
        <v>46.06203769230769</v>
      </c>
      <c r="AF448" t="s">
        <v>58</v>
      </c>
      <c r="AG448" t="b">
        <v>1</v>
      </c>
      <c r="AH448">
        <v>2.737628935997733</v>
      </c>
      <c r="AI448">
        <v>963.08799999999997</v>
      </c>
      <c r="AJ448">
        <v>91.310100000000006</v>
      </c>
      <c r="AK448">
        <v>39.358900000000013</v>
      </c>
      <c r="AL448">
        <v>16.536725460260438</v>
      </c>
      <c r="AM448">
        <v>46.223502077814992</v>
      </c>
      <c r="AN448">
        <v>46.223502077814992</v>
      </c>
      <c r="AO448" t="s">
        <v>58</v>
      </c>
      <c r="AP448" t="b">
        <v>1</v>
      </c>
      <c r="AQ448">
        <v>2.7952028464701262</v>
      </c>
      <c r="AR448">
        <v>963.08900000000006</v>
      </c>
      <c r="AS448">
        <v>46.223502077814992</v>
      </c>
      <c r="AT448">
        <v>2.7952028464701262</v>
      </c>
      <c r="AU448" s="5">
        <v>34.528956052127796</v>
      </c>
      <c r="AV448" s="5">
        <v>49.32047671702859</v>
      </c>
      <c r="AW448" s="5">
        <v>2.0880165263131842</v>
      </c>
      <c r="AX448" s="5">
        <v>2.9824814371836244</v>
      </c>
      <c r="AY448" t="s">
        <v>59</v>
      </c>
      <c r="AZ448" t="s">
        <v>60</v>
      </c>
      <c r="BA448" s="23">
        <f t="shared" si="6"/>
        <v>0</v>
      </c>
      <c r="BB448" s="23">
        <f>IF(AND(ISNUMBER(H448),Metadata!$H$5&gt;Metadata!$G$5),MAX(Metadata!$G$5-H448,0,H448-Metadata!$H$5)/(Metadata!$H$5-Metadata!$G$5),"Missing input")</f>
        <v>0</v>
      </c>
      <c r="BC448" s="23">
        <f>IF(AND(ISNUMBER(L448),Metadata!$H$8&gt;Metadata!$G$8),MAX(Metadata!$G$8-L448,0,L448-Metadata!$H$8)/(Metadata!$H$8-Metadata!$G$8),"Missing input")</f>
        <v>0</v>
      </c>
    </row>
    <row r="449" spans="1:55" x14ac:dyDescent="0.2">
      <c r="A449" t="s">
        <v>537</v>
      </c>
      <c r="B449" t="s">
        <v>530</v>
      </c>
      <c r="C449" t="s">
        <v>466</v>
      </c>
      <c r="D449" t="s">
        <v>55</v>
      </c>
      <c r="E449" t="s">
        <v>467</v>
      </c>
      <c r="F449">
        <v>8</v>
      </c>
      <c r="G449">
        <v>29.155454969686971</v>
      </c>
      <c r="H449">
        <v>7.3398505058277053</v>
      </c>
      <c r="I449">
        <v>1.95</v>
      </c>
      <c r="J449">
        <v>1.8</v>
      </c>
      <c r="K449">
        <v>0.54</v>
      </c>
      <c r="L449">
        <v>0.25</v>
      </c>
      <c r="N449">
        <v>125</v>
      </c>
      <c r="O449">
        <v>12</v>
      </c>
      <c r="P449">
        <v>10</v>
      </c>
      <c r="Q449">
        <v>0.53616514621265798</v>
      </c>
      <c r="R449">
        <v>595711.36772068124</v>
      </c>
      <c r="S449">
        <v>-2.973684447961894E-3</v>
      </c>
      <c r="T449">
        <v>709.51155854147805</v>
      </c>
      <c r="U449">
        <v>706.7858992589853</v>
      </c>
      <c r="V449">
        <v>156.9715837481146</v>
      </c>
      <c r="W449">
        <v>4.5026359700436824</v>
      </c>
      <c r="X449" t="s">
        <v>57</v>
      </c>
      <c r="Y449">
        <v>8</v>
      </c>
      <c r="Z449">
        <v>519.34699999999998</v>
      </c>
      <c r="AA449">
        <v>95.157499999999999</v>
      </c>
      <c r="AB449">
        <v>51.296399999999998</v>
      </c>
      <c r="AC449">
        <v>17.407080124653731</v>
      </c>
      <c r="AE449">
        <v>95.157499999999999</v>
      </c>
      <c r="AF449" t="s">
        <v>62</v>
      </c>
      <c r="AG449" t="b">
        <v>0</v>
      </c>
      <c r="AH449">
        <v>5.4665974602614691</v>
      </c>
      <c r="AI449">
        <v>512.47500000000002</v>
      </c>
      <c r="AJ449">
        <v>91.315999999999988</v>
      </c>
      <c r="AK449">
        <v>39.358900000000013</v>
      </c>
      <c r="AL449">
        <v>16.69774896249616</v>
      </c>
      <c r="AM449">
        <v>51.858867550926632</v>
      </c>
      <c r="AN449">
        <v>51.858867550926632</v>
      </c>
      <c r="AO449" t="s">
        <v>58</v>
      </c>
      <c r="AP449" t="b">
        <v>1</v>
      </c>
      <c r="AQ449">
        <v>3.1057400412117708</v>
      </c>
      <c r="AR449">
        <v>519.34699999999998</v>
      </c>
      <c r="AS449">
        <v>95.157499999999999</v>
      </c>
      <c r="AT449">
        <v>5.4665974602614691</v>
      </c>
      <c r="AU449" s="5">
        <v>71.082652499999995</v>
      </c>
      <c r="AV449" s="5">
        <v>101.5330525</v>
      </c>
      <c r="AW449" s="5">
        <v>4.0835483028153172</v>
      </c>
      <c r="AX449" s="5">
        <v>5.8328594900989872</v>
      </c>
      <c r="AY449" t="s">
        <v>59</v>
      </c>
      <c r="AZ449" t="s">
        <v>60</v>
      </c>
      <c r="BA449" s="23">
        <f t="shared" si="6"/>
        <v>0</v>
      </c>
      <c r="BB449" s="23">
        <f>IF(AND(ISNUMBER(H449),Metadata!$H$5&gt;Metadata!$G$5),MAX(Metadata!$G$5-H449,0,H449-Metadata!$H$5)/(Metadata!$H$5-Metadata!$G$5),"Missing input")</f>
        <v>0</v>
      </c>
      <c r="BC449" s="23">
        <f>IF(AND(ISNUMBER(L449),Metadata!$H$8&gt;Metadata!$G$8),MAX(Metadata!$G$8-L449,0,L449-Metadata!$H$8)/(Metadata!$H$8-Metadata!$G$8),"Missing input")</f>
        <v>0</v>
      </c>
    </row>
    <row r="450" spans="1:55" x14ac:dyDescent="0.2">
      <c r="A450" t="s">
        <v>538</v>
      </c>
      <c r="B450" t="s">
        <v>530</v>
      </c>
      <c r="C450" t="s">
        <v>466</v>
      </c>
      <c r="D450" t="s">
        <v>55</v>
      </c>
      <c r="E450" t="s">
        <v>467</v>
      </c>
      <c r="F450">
        <v>9</v>
      </c>
      <c r="G450">
        <v>59.748609235827082</v>
      </c>
      <c r="H450">
        <v>37.783512331141722</v>
      </c>
      <c r="I450">
        <v>1.95</v>
      </c>
      <c r="J450">
        <v>1.8</v>
      </c>
      <c r="K450">
        <v>0.54</v>
      </c>
      <c r="L450">
        <v>0.25</v>
      </c>
      <c r="N450">
        <v>125</v>
      </c>
      <c r="O450">
        <v>12</v>
      </c>
      <c r="P450">
        <v>10</v>
      </c>
      <c r="Q450">
        <v>0.53616514621265798</v>
      </c>
      <c r="R450">
        <v>6726258.2664913209</v>
      </c>
      <c r="S450">
        <v>-6.5891335670068161E-3</v>
      </c>
      <c r="T450">
        <v>3185.532222206135</v>
      </c>
      <c r="U450">
        <v>822.87545002106197</v>
      </c>
      <c r="V450">
        <v>704.76376597480862</v>
      </c>
      <c r="W450">
        <v>1.167590460447246</v>
      </c>
      <c r="X450" t="s">
        <v>57</v>
      </c>
      <c r="Y450">
        <v>8</v>
      </c>
      <c r="Z450">
        <v>1261.96</v>
      </c>
      <c r="AA450">
        <v>94.993200000000002</v>
      </c>
      <c r="AB450">
        <v>36.549900000000001</v>
      </c>
      <c r="AC450">
        <v>16.62306471766119</v>
      </c>
      <c r="AD450">
        <v>37.905142474111393</v>
      </c>
      <c r="AE450">
        <v>37.905142474111393</v>
      </c>
      <c r="AF450" t="s">
        <v>58</v>
      </c>
      <c r="AG450" t="b">
        <v>1</v>
      </c>
      <c r="AH450">
        <v>2.2802740119178528</v>
      </c>
      <c r="AI450">
        <v>1253.43</v>
      </c>
      <c r="AJ450">
        <v>90.874800000000008</v>
      </c>
      <c r="AK450">
        <v>35.958300000000001</v>
      </c>
      <c r="AL450">
        <v>15.77035821652972</v>
      </c>
      <c r="AM450">
        <v>39.24270310404107</v>
      </c>
      <c r="AN450">
        <v>39.24270310404107</v>
      </c>
      <c r="AO450" t="s">
        <v>58</v>
      </c>
      <c r="AP450" t="b">
        <v>1</v>
      </c>
      <c r="AQ450">
        <v>2.4883837491344218</v>
      </c>
      <c r="AR450">
        <v>1261.96</v>
      </c>
      <c r="AS450">
        <v>39.24270310404107</v>
      </c>
      <c r="AT450">
        <v>2.4883837491344218</v>
      </c>
      <c r="AU450" s="5">
        <v>29.314299218718681</v>
      </c>
      <c r="AV450" s="5">
        <v>41.871964212011818</v>
      </c>
      <c r="AW450" s="5">
        <v>1.8588226606034131</v>
      </c>
      <c r="AX450" s="5">
        <v>2.6551054603264279</v>
      </c>
      <c r="AY450" t="s">
        <v>59</v>
      </c>
      <c r="AZ450" t="s">
        <v>60</v>
      </c>
      <c r="BA450" s="23">
        <f t="shared" ref="BA450:BA513" si="7">IF(COUNT(BB450:BC450)=2,MAX(BB450:BC450),"Missing input")</f>
        <v>0</v>
      </c>
      <c r="BB450" s="23">
        <f>IF(AND(ISNUMBER(H450),Metadata!$H$5&gt;Metadata!$G$5),MAX(Metadata!$G$5-H450,0,H450-Metadata!$H$5)/(Metadata!$H$5-Metadata!$G$5),"Missing input")</f>
        <v>0</v>
      </c>
      <c r="BC450" s="23">
        <f>IF(AND(ISNUMBER(L450),Metadata!$H$8&gt;Metadata!$G$8),MAX(Metadata!$G$8-L450,0,L450-Metadata!$H$8)/(Metadata!$H$8-Metadata!$G$8),"Missing input")</f>
        <v>0</v>
      </c>
    </row>
    <row r="451" spans="1:55" x14ac:dyDescent="0.2">
      <c r="A451" t="s">
        <v>539</v>
      </c>
      <c r="B451" t="s">
        <v>530</v>
      </c>
      <c r="C451" t="s">
        <v>466</v>
      </c>
      <c r="D451" t="s">
        <v>55</v>
      </c>
      <c r="E451" t="s">
        <v>467</v>
      </c>
      <c r="F451">
        <v>10</v>
      </c>
      <c r="G451">
        <v>34.746337553007109</v>
      </c>
      <c r="H451">
        <v>23.7414613202046</v>
      </c>
      <c r="I451">
        <v>1.95</v>
      </c>
      <c r="J451">
        <v>1.8</v>
      </c>
      <c r="K451">
        <v>0.54</v>
      </c>
      <c r="L451">
        <v>0.25</v>
      </c>
      <c r="N451">
        <v>125</v>
      </c>
      <c r="O451">
        <v>12</v>
      </c>
      <c r="P451">
        <v>10</v>
      </c>
      <c r="Q451">
        <v>0.53616514621265798</v>
      </c>
      <c r="R451">
        <v>2428507.8121004719</v>
      </c>
      <c r="S451">
        <v>-5.5597511860724959E-3</v>
      </c>
      <c r="T451">
        <v>1341.7517597931169</v>
      </c>
      <c r="U451">
        <v>731.44834288856589</v>
      </c>
      <c r="V451">
        <v>296.84773446750381</v>
      </c>
      <c r="W451">
        <v>2.4640523000812671</v>
      </c>
      <c r="X451" t="s">
        <v>57</v>
      </c>
      <c r="Y451">
        <v>8</v>
      </c>
      <c r="Z451">
        <v>786.995</v>
      </c>
      <c r="AA451">
        <v>95.163399999999996</v>
      </c>
      <c r="AB451">
        <v>48.223799999999997</v>
      </c>
      <c r="AC451">
        <v>17.52142142739002</v>
      </c>
      <c r="AD451">
        <v>61.642471961752008</v>
      </c>
      <c r="AE451">
        <v>61.642471961752008</v>
      </c>
      <c r="AF451" t="s">
        <v>58</v>
      </c>
      <c r="AG451" t="b">
        <v>1</v>
      </c>
      <c r="AH451">
        <v>3.5181205027915499</v>
      </c>
      <c r="AI451">
        <v>782.58600000000001</v>
      </c>
      <c r="AJ451">
        <v>91.310100000000006</v>
      </c>
      <c r="AK451">
        <v>47.978900000000003</v>
      </c>
      <c r="AL451">
        <v>17.18908531216649</v>
      </c>
      <c r="AM451">
        <v>61.478812989397063</v>
      </c>
      <c r="AN451">
        <v>61.478812989397063</v>
      </c>
      <c r="AO451" t="s">
        <v>58</v>
      </c>
      <c r="AP451" t="b">
        <v>1</v>
      </c>
      <c r="AQ451">
        <v>3.576619225101068</v>
      </c>
      <c r="AR451">
        <v>786.995</v>
      </c>
      <c r="AS451">
        <v>61.642471961752008</v>
      </c>
      <c r="AT451">
        <v>3.576619225101068</v>
      </c>
      <c r="AU451" s="5">
        <v>46.046926555428747</v>
      </c>
      <c r="AV451" s="5">
        <v>65.772517583189384</v>
      </c>
      <c r="AW451" s="5">
        <v>2.6717345611504979</v>
      </c>
      <c r="AX451" s="5">
        <v>3.8162527131828394</v>
      </c>
      <c r="AY451" t="s">
        <v>59</v>
      </c>
      <c r="AZ451" t="s">
        <v>60</v>
      </c>
      <c r="BA451" s="23">
        <f t="shared" si="7"/>
        <v>0</v>
      </c>
      <c r="BB451" s="23">
        <f>IF(AND(ISNUMBER(H451),Metadata!$H$5&gt;Metadata!$G$5),MAX(Metadata!$G$5-H451,0,H451-Metadata!$H$5)/(Metadata!$H$5-Metadata!$G$5),"Missing input")</f>
        <v>0</v>
      </c>
      <c r="BC451" s="23">
        <f>IF(AND(ISNUMBER(L451),Metadata!$H$8&gt;Metadata!$G$8),MAX(Metadata!$G$8-L451,0,L451-Metadata!$H$8)/(Metadata!$H$8-Metadata!$G$8),"Missing input")</f>
        <v>0</v>
      </c>
    </row>
    <row r="452" spans="1:55" x14ac:dyDescent="0.2">
      <c r="A452" t="s">
        <v>540</v>
      </c>
      <c r="B452" t="s">
        <v>530</v>
      </c>
      <c r="C452" t="s">
        <v>466</v>
      </c>
      <c r="D452" t="s">
        <v>55</v>
      </c>
      <c r="E452" t="s">
        <v>467</v>
      </c>
      <c r="F452">
        <v>11</v>
      </c>
      <c r="G452">
        <v>24.502161634428251</v>
      </c>
      <c r="H452">
        <v>33.048591474592847</v>
      </c>
      <c r="I452">
        <v>1.95</v>
      </c>
      <c r="J452">
        <v>1.8</v>
      </c>
      <c r="K452">
        <v>0.54</v>
      </c>
      <c r="L452">
        <v>0.25</v>
      </c>
      <c r="N452">
        <v>125</v>
      </c>
      <c r="O452">
        <v>12</v>
      </c>
      <c r="P452">
        <v>10</v>
      </c>
      <c r="Q452">
        <v>0.53616514621265798</v>
      </c>
      <c r="R452">
        <v>2383007.1153019848</v>
      </c>
      <c r="S452">
        <v>-6.4057667941434431E-3</v>
      </c>
      <c r="T452">
        <v>1363.4292867974989</v>
      </c>
      <c r="U452">
        <v>684.38581388777777</v>
      </c>
      <c r="V452">
        <v>301.64364752157059</v>
      </c>
      <c r="W452">
        <v>2.268855384527324</v>
      </c>
      <c r="X452" t="s">
        <v>57</v>
      </c>
      <c r="Y452">
        <v>8</v>
      </c>
      <c r="Z452">
        <v>694.12</v>
      </c>
      <c r="AA452">
        <v>95.163399999999996</v>
      </c>
      <c r="AB452">
        <v>37.809100000000001</v>
      </c>
      <c r="AC452">
        <v>17.557683688464369</v>
      </c>
      <c r="AD452">
        <v>47.057061436555578</v>
      </c>
      <c r="AE452">
        <v>47.057061436555578</v>
      </c>
      <c r="AF452" t="s">
        <v>58</v>
      </c>
      <c r="AG452" t="b">
        <v>1</v>
      </c>
      <c r="AH452">
        <v>2.680140630820949</v>
      </c>
      <c r="AI452">
        <v>692.91099999999994</v>
      </c>
      <c r="AJ452">
        <v>91.310100000000006</v>
      </c>
      <c r="AK452">
        <v>39.358900000000013</v>
      </c>
      <c r="AL452">
        <v>17.289111999999989</v>
      </c>
      <c r="AM452">
        <v>46.400457296190083</v>
      </c>
      <c r="AN452">
        <v>46.400457296190083</v>
      </c>
      <c r="AO452" t="s">
        <v>58</v>
      </c>
      <c r="AP452" t="b">
        <v>1</v>
      </c>
      <c r="AQ452">
        <v>2.683796443460492</v>
      </c>
      <c r="AR452">
        <v>694.12</v>
      </c>
      <c r="AS452">
        <v>47.057061436555578</v>
      </c>
      <c r="AT452">
        <v>2.683796443460492</v>
      </c>
      <c r="AU452" s="5">
        <v>35.151624893107019</v>
      </c>
      <c r="AV452" s="5">
        <v>50.209884552804802</v>
      </c>
      <c r="AW452" s="5">
        <v>2.0047959432649876</v>
      </c>
      <c r="AX452" s="5">
        <v>2.8636108051723448</v>
      </c>
      <c r="AY452" t="s">
        <v>59</v>
      </c>
      <c r="AZ452" t="s">
        <v>60</v>
      </c>
      <c r="BA452" s="23">
        <f t="shared" si="7"/>
        <v>0</v>
      </c>
      <c r="BB452" s="23">
        <f>IF(AND(ISNUMBER(H452),Metadata!$H$5&gt;Metadata!$G$5),MAX(Metadata!$G$5-H452,0,H452-Metadata!$H$5)/(Metadata!$H$5-Metadata!$G$5),"Missing input")</f>
        <v>0</v>
      </c>
      <c r="BC452" s="23">
        <f>IF(AND(ISNUMBER(L452),Metadata!$H$8&gt;Metadata!$G$8),MAX(Metadata!$G$8-L452,0,L452-Metadata!$H$8)/(Metadata!$H$8-Metadata!$G$8),"Missing input")</f>
        <v>0</v>
      </c>
    </row>
    <row r="453" spans="1:55" x14ac:dyDescent="0.2">
      <c r="A453" t="s">
        <v>541</v>
      </c>
      <c r="B453" t="s">
        <v>530</v>
      </c>
      <c r="C453" t="s">
        <v>466</v>
      </c>
      <c r="D453" t="s">
        <v>55</v>
      </c>
      <c r="E453" t="s">
        <v>467</v>
      </c>
      <c r="F453">
        <v>12</v>
      </c>
      <c r="G453">
        <v>56.241153781572699</v>
      </c>
      <c r="H453">
        <v>14.78764467513273</v>
      </c>
      <c r="I453">
        <v>1.95</v>
      </c>
      <c r="J453">
        <v>1.8</v>
      </c>
      <c r="K453">
        <v>0.54</v>
      </c>
      <c r="L453">
        <v>0.25</v>
      </c>
      <c r="N453">
        <v>125</v>
      </c>
      <c r="O453">
        <v>12</v>
      </c>
      <c r="P453">
        <v>10</v>
      </c>
      <c r="Q453">
        <v>0.53616514621265798</v>
      </c>
      <c r="R453">
        <v>2448743.9197241841</v>
      </c>
      <c r="S453">
        <v>-4.2073260910640026E-3</v>
      </c>
      <c r="T453">
        <v>1294.051516483745</v>
      </c>
      <c r="U453">
        <v>811.40111588676484</v>
      </c>
      <c r="V453">
        <v>286.2945832928641</v>
      </c>
      <c r="W453">
        <v>2.8341476340708289</v>
      </c>
      <c r="X453" t="s">
        <v>57</v>
      </c>
      <c r="Y453">
        <v>8</v>
      </c>
      <c r="Z453">
        <v>859.84699999999998</v>
      </c>
      <c r="AA453">
        <v>95.163399999999996</v>
      </c>
      <c r="AB453">
        <v>37.809100000000001</v>
      </c>
      <c r="AC453">
        <v>15.716507157968969</v>
      </c>
      <c r="AE453">
        <v>95.163399999999996</v>
      </c>
      <c r="AF453" t="s">
        <v>62</v>
      </c>
      <c r="AG453" t="b">
        <v>0</v>
      </c>
      <c r="AH453">
        <v>6.0549967650889842</v>
      </c>
      <c r="AI453">
        <v>859.21699999999998</v>
      </c>
      <c r="AJ453">
        <v>91.310100000000006</v>
      </c>
      <c r="AK453">
        <v>39.358900000000013</v>
      </c>
      <c r="AL453">
        <v>15.458984307141259</v>
      </c>
      <c r="AN453">
        <v>91.310100000000006</v>
      </c>
      <c r="AO453" t="s">
        <v>62</v>
      </c>
      <c r="AP453" t="b">
        <v>0</v>
      </c>
      <c r="AQ453">
        <v>5.9066040941525131</v>
      </c>
      <c r="AR453">
        <v>859.84699999999998</v>
      </c>
      <c r="AS453">
        <v>95.163399999999996</v>
      </c>
      <c r="AT453">
        <v>6.0549967650889842</v>
      </c>
      <c r="AU453" s="5">
        <v>71.087059799999992</v>
      </c>
      <c r="AV453" s="5">
        <v>101.53934779999999</v>
      </c>
      <c r="AW453" s="5">
        <v>4.5230825835214716</v>
      </c>
      <c r="AX453" s="5">
        <v>6.460681548349946</v>
      </c>
      <c r="AY453" t="s">
        <v>59</v>
      </c>
      <c r="AZ453" t="s">
        <v>60</v>
      </c>
      <c r="BA453" s="23">
        <f t="shared" si="7"/>
        <v>0</v>
      </c>
      <c r="BB453" s="23">
        <f>IF(AND(ISNUMBER(H453),Metadata!$H$5&gt;Metadata!$G$5),MAX(Metadata!$G$5-H453,0,H453-Metadata!$H$5)/(Metadata!$H$5-Metadata!$G$5),"Missing input")</f>
        <v>0</v>
      </c>
      <c r="BC453" s="23">
        <f>IF(AND(ISNUMBER(L453),Metadata!$H$8&gt;Metadata!$G$8),MAX(Metadata!$G$8-L453,0,L453-Metadata!$H$8)/(Metadata!$H$8-Metadata!$G$8),"Missing input")</f>
        <v>0</v>
      </c>
    </row>
    <row r="454" spans="1:55" x14ac:dyDescent="0.2">
      <c r="A454" t="s">
        <v>542</v>
      </c>
      <c r="B454" t="s">
        <v>530</v>
      </c>
      <c r="C454" t="s">
        <v>466</v>
      </c>
      <c r="D454" t="s">
        <v>55</v>
      </c>
      <c r="E454" t="s">
        <v>467</v>
      </c>
      <c r="F454">
        <v>13</v>
      </c>
      <c r="G454">
        <v>49.119901382435643</v>
      </c>
      <c r="H454">
        <v>22.54933477691009</v>
      </c>
      <c r="I454">
        <v>1.95</v>
      </c>
      <c r="J454">
        <v>1.8</v>
      </c>
      <c r="K454">
        <v>0.54</v>
      </c>
      <c r="L454">
        <v>0.25</v>
      </c>
      <c r="N454">
        <v>125</v>
      </c>
      <c r="O454">
        <v>12</v>
      </c>
      <c r="P454">
        <v>10</v>
      </c>
      <c r="Q454">
        <v>0.53616514621265798</v>
      </c>
      <c r="R454">
        <v>3276584.6264440492</v>
      </c>
      <c r="S454">
        <v>-5.4045165583108106E-3</v>
      </c>
      <c r="T454">
        <v>1644.205136136341</v>
      </c>
      <c r="U454">
        <v>786.94653369120795</v>
      </c>
      <c r="V454">
        <v>363.76219826025249</v>
      </c>
      <c r="W454">
        <v>2.16335434922842</v>
      </c>
      <c r="X454" t="s">
        <v>57</v>
      </c>
      <c r="Y454">
        <v>8</v>
      </c>
      <c r="Z454">
        <v>951.58</v>
      </c>
      <c r="AA454">
        <v>95.091899999999995</v>
      </c>
      <c r="AB454">
        <v>44.910200000000003</v>
      </c>
      <c r="AC454">
        <v>16.896404206393719</v>
      </c>
      <c r="AD454">
        <v>44.972436392874762</v>
      </c>
      <c r="AE454">
        <v>44.972436392874762</v>
      </c>
      <c r="AF454" t="s">
        <v>58</v>
      </c>
      <c r="AG454" t="b">
        <v>1</v>
      </c>
      <c r="AH454">
        <v>2.6616572285751108</v>
      </c>
      <c r="AI454">
        <v>940.66800000000001</v>
      </c>
      <c r="AJ454">
        <v>91.381599999999992</v>
      </c>
      <c r="AK454">
        <v>39.358900000000013</v>
      </c>
      <c r="AL454">
        <v>16.381985943775099</v>
      </c>
      <c r="AM454">
        <v>64.914087861696515</v>
      </c>
      <c r="AN454">
        <v>64.914087861696515</v>
      </c>
      <c r="AO454" t="s">
        <v>58</v>
      </c>
      <c r="AP454" t="b">
        <v>1</v>
      </c>
      <c r="AQ454">
        <v>3.9625286021175512</v>
      </c>
      <c r="AR454">
        <v>951.58</v>
      </c>
      <c r="AS454">
        <v>64.914087861696515</v>
      </c>
      <c r="AT454">
        <v>3.9625286021175512</v>
      </c>
      <c r="AU454" s="5">
        <v>48.490823632687295</v>
      </c>
      <c r="AV454" s="5">
        <v>69.263331748430176</v>
      </c>
      <c r="AW454" s="5">
        <v>2.9600088657818109</v>
      </c>
      <c r="AX454" s="5">
        <v>4.2280180184594265</v>
      </c>
      <c r="AY454" t="s">
        <v>59</v>
      </c>
      <c r="AZ454" t="s">
        <v>60</v>
      </c>
      <c r="BA454" s="23">
        <f t="shared" si="7"/>
        <v>0</v>
      </c>
      <c r="BB454" s="23">
        <f>IF(AND(ISNUMBER(H454),Metadata!$H$5&gt;Metadata!$G$5),MAX(Metadata!$G$5-H454,0,H454-Metadata!$H$5)/(Metadata!$H$5-Metadata!$G$5),"Missing input")</f>
        <v>0</v>
      </c>
      <c r="BC454" s="23">
        <f>IF(AND(ISNUMBER(L454),Metadata!$H$8&gt;Metadata!$G$8),MAX(Metadata!$G$8-L454,0,L454-Metadata!$H$8)/(Metadata!$H$8-Metadata!$G$8),"Missing input")</f>
        <v>0</v>
      </c>
    </row>
    <row r="455" spans="1:55" x14ac:dyDescent="0.2">
      <c r="A455" t="s">
        <v>543</v>
      </c>
      <c r="B455" t="s">
        <v>530</v>
      </c>
      <c r="C455" t="s">
        <v>466</v>
      </c>
      <c r="D455" t="s">
        <v>55</v>
      </c>
      <c r="E455" t="s">
        <v>467</v>
      </c>
      <c r="F455">
        <v>14</v>
      </c>
      <c r="G455">
        <v>37.958866376576751</v>
      </c>
      <c r="H455">
        <v>9.8264864335603903</v>
      </c>
      <c r="I455">
        <v>1.95</v>
      </c>
      <c r="J455">
        <v>1.8</v>
      </c>
      <c r="K455">
        <v>0.54</v>
      </c>
      <c r="L455">
        <v>0.25</v>
      </c>
      <c r="N455">
        <v>125</v>
      </c>
      <c r="O455">
        <v>12</v>
      </c>
      <c r="P455">
        <v>10</v>
      </c>
      <c r="Q455">
        <v>0.53616514621265798</v>
      </c>
      <c r="R455">
        <v>1072728.181448289</v>
      </c>
      <c r="S455">
        <v>-3.374657671517357E-3</v>
      </c>
      <c r="T455">
        <v>842.51664857955211</v>
      </c>
      <c r="U455">
        <v>744.72430032575369</v>
      </c>
      <c r="V455">
        <v>186.39748862379469</v>
      </c>
      <c r="W455">
        <v>3.9953558699968741</v>
      </c>
      <c r="X455" t="s">
        <v>57</v>
      </c>
      <c r="Y455">
        <v>8</v>
      </c>
      <c r="Z455">
        <v>616.74300000000005</v>
      </c>
      <c r="AA455">
        <v>95.163399999999996</v>
      </c>
      <c r="AB455">
        <v>65.006200000000007</v>
      </c>
      <c r="AC455">
        <v>16.753352782623871</v>
      </c>
      <c r="AE455">
        <v>95.163399999999996</v>
      </c>
      <c r="AF455" t="s">
        <v>62</v>
      </c>
      <c r="AG455" t="b">
        <v>0</v>
      </c>
      <c r="AH455">
        <v>5.6802600192781094</v>
      </c>
      <c r="AI455">
        <v>612.92399999999998</v>
      </c>
      <c r="AJ455">
        <v>91.310100000000006</v>
      </c>
      <c r="AK455">
        <v>64.811499999999995</v>
      </c>
      <c r="AL455">
        <v>16.239008956450292</v>
      </c>
      <c r="AN455">
        <v>91.310100000000006</v>
      </c>
      <c r="AO455" t="s">
        <v>62</v>
      </c>
      <c r="AP455" t="b">
        <v>0</v>
      </c>
      <c r="AQ455">
        <v>5.6228862392326464</v>
      </c>
      <c r="AR455">
        <v>616.74300000000005</v>
      </c>
      <c r="AS455">
        <v>95.163399999999996</v>
      </c>
      <c r="AT455">
        <v>5.6802600192781094</v>
      </c>
      <c r="AU455" s="5">
        <v>71.087059799999992</v>
      </c>
      <c r="AV455" s="5">
        <v>101.53934779999999</v>
      </c>
      <c r="AW455" s="5">
        <v>4.2431542344007473</v>
      </c>
      <c r="AX455" s="5">
        <v>6.0608374405697427</v>
      </c>
      <c r="AY455" t="s">
        <v>59</v>
      </c>
      <c r="AZ455" t="s">
        <v>60</v>
      </c>
      <c r="BA455" s="23">
        <f t="shared" si="7"/>
        <v>0</v>
      </c>
      <c r="BB455" s="23">
        <f>IF(AND(ISNUMBER(H455),Metadata!$H$5&gt;Metadata!$G$5),MAX(Metadata!$G$5-H455,0,H455-Metadata!$H$5)/(Metadata!$H$5-Metadata!$G$5),"Missing input")</f>
        <v>0</v>
      </c>
      <c r="BC455" s="23">
        <f>IF(AND(ISNUMBER(L455),Metadata!$H$8&gt;Metadata!$G$8),MAX(Metadata!$G$8-L455,0,L455-Metadata!$H$8)/(Metadata!$H$8-Metadata!$G$8),"Missing input")</f>
        <v>0</v>
      </c>
    </row>
    <row r="456" spans="1:55" x14ac:dyDescent="0.2">
      <c r="A456" t="s">
        <v>544</v>
      </c>
      <c r="B456" t="s">
        <v>530</v>
      </c>
      <c r="C456" t="s">
        <v>466</v>
      </c>
      <c r="D456" t="s">
        <v>55</v>
      </c>
      <c r="E456" t="s">
        <v>467</v>
      </c>
      <c r="F456">
        <v>15</v>
      </c>
      <c r="G456">
        <v>27.308053040943211</v>
      </c>
      <c r="H456">
        <v>5.2772178758296739</v>
      </c>
      <c r="I456">
        <v>1.95</v>
      </c>
      <c r="J456">
        <v>1.8</v>
      </c>
      <c r="K456">
        <v>0.54</v>
      </c>
      <c r="L456">
        <v>0.25</v>
      </c>
      <c r="N456">
        <v>125</v>
      </c>
      <c r="O456">
        <v>12</v>
      </c>
      <c r="P456">
        <v>10</v>
      </c>
      <c r="Q456">
        <v>0.53616514621265798</v>
      </c>
      <c r="R456">
        <v>386052.96198531118</v>
      </c>
      <c r="S456">
        <v>-2.6594986102386358E-3</v>
      </c>
      <c r="T456">
        <v>655.76388160489682</v>
      </c>
      <c r="U456">
        <v>698.12364149884274</v>
      </c>
      <c r="V456">
        <v>145.08050477984449</v>
      </c>
      <c r="W456">
        <v>4.8119741695014469</v>
      </c>
      <c r="X456" t="s">
        <v>57</v>
      </c>
      <c r="Y456">
        <v>8</v>
      </c>
      <c r="Z456">
        <v>479.12799999999999</v>
      </c>
      <c r="AA456">
        <v>95.163399999999996</v>
      </c>
      <c r="AB456">
        <v>51.296399999999998</v>
      </c>
      <c r="AC456">
        <v>17.424499109907121</v>
      </c>
      <c r="AE456">
        <v>95.163399999999996</v>
      </c>
      <c r="AF456" t="s">
        <v>62</v>
      </c>
      <c r="AG456" t="b">
        <v>0</v>
      </c>
      <c r="AH456">
        <v>5.4614711963738767</v>
      </c>
      <c r="AI456">
        <v>473.01100000000002</v>
      </c>
      <c r="AJ456">
        <v>78.431799999999996</v>
      </c>
      <c r="AK456">
        <v>39.358900000000013</v>
      </c>
      <c r="AL456">
        <v>16.667593561172598</v>
      </c>
      <c r="AN456">
        <v>78.431799999999996</v>
      </c>
      <c r="AO456" t="s">
        <v>62</v>
      </c>
      <c r="AP456" t="b">
        <v>0</v>
      </c>
      <c r="AQ456">
        <v>4.7056463017377634</v>
      </c>
      <c r="AR456">
        <v>479.12799999999999</v>
      </c>
      <c r="AS456">
        <v>95.163399999999996</v>
      </c>
      <c r="AT456">
        <v>5.4614711963738767</v>
      </c>
      <c r="AU456" s="5">
        <v>71.087059799999992</v>
      </c>
      <c r="AV456" s="5">
        <v>101.53934779999999</v>
      </c>
      <c r="AW456" s="5">
        <v>4.0797189836912855</v>
      </c>
      <c r="AX456" s="5">
        <v>5.827389766530926</v>
      </c>
      <c r="AY456" t="s">
        <v>59</v>
      </c>
      <c r="AZ456" t="s">
        <v>60</v>
      </c>
      <c r="BA456" s="23">
        <f t="shared" si="7"/>
        <v>0</v>
      </c>
      <c r="BB456" s="23">
        <f>IF(AND(ISNUMBER(H456),Metadata!$H$5&gt;Metadata!$G$5),MAX(Metadata!$G$5-H456,0,H456-Metadata!$H$5)/(Metadata!$H$5-Metadata!$G$5),"Missing input")</f>
        <v>0</v>
      </c>
      <c r="BC456" s="23">
        <f>IF(AND(ISNUMBER(L456),Metadata!$H$8&gt;Metadata!$G$8),MAX(Metadata!$G$8-L456,0,L456-Metadata!$H$8)/(Metadata!$H$8-Metadata!$G$8),"Missing input")</f>
        <v>0</v>
      </c>
    </row>
    <row r="457" spans="1:55" x14ac:dyDescent="0.2">
      <c r="A457" t="s">
        <v>545</v>
      </c>
      <c r="B457" t="s">
        <v>530</v>
      </c>
      <c r="C457" t="s">
        <v>466</v>
      </c>
      <c r="D457" t="s">
        <v>55</v>
      </c>
      <c r="E457" t="s">
        <v>467</v>
      </c>
      <c r="F457">
        <v>16</v>
      </c>
      <c r="G457">
        <v>31.1252119640606</v>
      </c>
      <c r="H457">
        <v>39.5069074866867</v>
      </c>
      <c r="I457">
        <v>1.95</v>
      </c>
      <c r="J457">
        <v>1.8</v>
      </c>
      <c r="K457">
        <v>0.54</v>
      </c>
      <c r="L457">
        <v>0.25</v>
      </c>
      <c r="N457">
        <v>125</v>
      </c>
      <c r="O457">
        <v>12</v>
      </c>
      <c r="P457">
        <v>10</v>
      </c>
      <c r="Q457">
        <v>0.53616514621265798</v>
      </c>
      <c r="R457">
        <v>3642703.933702969</v>
      </c>
      <c r="S457">
        <v>-6.6191848329219321E-3</v>
      </c>
      <c r="T457">
        <v>1885.1052647808569</v>
      </c>
      <c r="U457">
        <v>715.72465594585606</v>
      </c>
      <c r="V457">
        <v>417.05868689841969</v>
      </c>
      <c r="W457">
        <v>1.716124560954609</v>
      </c>
      <c r="X457" t="s">
        <v>57</v>
      </c>
      <c r="Y457">
        <v>8</v>
      </c>
      <c r="Z457">
        <v>813.50300000000004</v>
      </c>
      <c r="AA457">
        <v>95.163399999999996</v>
      </c>
      <c r="AB457">
        <v>35.542400000000001</v>
      </c>
      <c r="AC457">
        <v>16.50949184782608</v>
      </c>
      <c r="AD457">
        <v>39.110769174502558</v>
      </c>
      <c r="AE457">
        <v>39.110769174502558</v>
      </c>
      <c r="AF457" t="s">
        <v>58</v>
      </c>
      <c r="AG457" t="b">
        <v>1</v>
      </c>
      <c r="AH457">
        <v>2.3689868552588149</v>
      </c>
      <c r="AI457">
        <v>806.25099999999998</v>
      </c>
      <c r="AJ457">
        <v>91.310100000000006</v>
      </c>
      <c r="AK457">
        <v>32.289299999999997</v>
      </c>
      <c r="AL457">
        <v>15.73493441921072</v>
      </c>
      <c r="AM457">
        <v>39.450879884053187</v>
      </c>
      <c r="AN457">
        <v>39.450879884053187</v>
      </c>
      <c r="AO457" t="s">
        <v>58</v>
      </c>
      <c r="AP457" t="b">
        <v>1</v>
      </c>
      <c r="AQ457">
        <v>2.5072160349068731</v>
      </c>
      <c r="AR457">
        <v>813.50300000000004</v>
      </c>
      <c r="AS457">
        <v>39.450879884053187</v>
      </c>
      <c r="AT457">
        <v>2.5072160349068731</v>
      </c>
      <c r="AU457" s="5">
        <v>29.46980727338773</v>
      </c>
      <c r="AV457" s="5">
        <v>42.094088836284747</v>
      </c>
      <c r="AW457" s="5">
        <v>1.8728903780754342</v>
      </c>
      <c r="AX457" s="5">
        <v>2.6751995092456333</v>
      </c>
      <c r="AY457" t="s">
        <v>59</v>
      </c>
      <c r="AZ457" t="s">
        <v>60</v>
      </c>
      <c r="BA457" s="23">
        <f t="shared" si="7"/>
        <v>0</v>
      </c>
      <c r="BB457" s="23">
        <f>IF(AND(ISNUMBER(H457),Metadata!$H$5&gt;Metadata!$G$5),MAX(Metadata!$G$5-H457,0,H457-Metadata!$H$5)/(Metadata!$H$5-Metadata!$G$5),"Missing input")</f>
        <v>0</v>
      </c>
      <c r="BC457" s="23">
        <f>IF(AND(ISNUMBER(L457),Metadata!$H$8&gt;Metadata!$G$8),MAX(Metadata!$G$8-L457,0,L457-Metadata!$H$8)/(Metadata!$H$8-Metadata!$G$8),"Missing input")</f>
        <v>0</v>
      </c>
    </row>
    <row r="458" spans="1:55" x14ac:dyDescent="0.2">
      <c r="A458" t="s">
        <v>546</v>
      </c>
      <c r="B458" t="s">
        <v>530</v>
      </c>
      <c r="C458" t="s">
        <v>466</v>
      </c>
      <c r="D458" t="s">
        <v>55</v>
      </c>
      <c r="E458" t="s">
        <v>467</v>
      </c>
      <c r="F458">
        <v>17</v>
      </c>
      <c r="G458">
        <v>46.390186033042063</v>
      </c>
      <c r="H458">
        <v>16.21387510983789</v>
      </c>
      <c r="I458">
        <v>1.95</v>
      </c>
      <c r="J458">
        <v>1.8</v>
      </c>
      <c r="K458">
        <v>0.54</v>
      </c>
      <c r="L458">
        <v>0.25</v>
      </c>
      <c r="N458">
        <v>125</v>
      </c>
      <c r="O458">
        <v>12</v>
      </c>
      <c r="P458">
        <v>10</v>
      </c>
      <c r="Q458">
        <v>0.53616514621265798</v>
      </c>
      <c r="R458">
        <v>2210215.3729856689</v>
      </c>
      <c r="S458">
        <v>-4.444350566551898E-3</v>
      </c>
      <c r="T458">
        <v>1224.6555895143531</v>
      </c>
      <c r="U458">
        <v>777.10568399344538</v>
      </c>
      <c r="V458">
        <v>270.94150210494541</v>
      </c>
      <c r="W458">
        <v>2.8681677703714969</v>
      </c>
      <c r="X458" t="s">
        <v>57</v>
      </c>
      <c r="Y458">
        <v>8</v>
      </c>
      <c r="Z458">
        <v>811.84100000000001</v>
      </c>
      <c r="AA458">
        <v>95.163399999999996</v>
      </c>
      <c r="AB458">
        <v>51.296399999999998</v>
      </c>
      <c r="AC458">
        <v>16.686308863287248</v>
      </c>
      <c r="AD458">
        <v>87.254353842716156</v>
      </c>
      <c r="AE458">
        <v>87.254353842716156</v>
      </c>
      <c r="AF458" t="s">
        <v>58</v>
      </c>
      <c r="AG458" t="b">
        <v>1</v>
      </c>
      <c r="AH458">
        <v>5.2290985716254337</v>
      </c>
      <c r="AI458">
        <v>805.87800000000004</v>
      </c>
      <c r="AJ458">
        <v>91.310100000000006</v>
      </c>
      <c r="AK458">
        <v>51.757599999999996</v>
      </c>
      <c r="AL458">
        <v>16.209696420798071</v>
      </c>
      <c r="AM458">
        <v>86.516554696685418</v>
      </c>
      <c r="AN458">
        <v>86.516554696685418</v>
      </c>
      <c r="AO458" t="s">
        <v>58</v>
      </c>
      <c r="AP458" t="b">
        <v>1</v>
      </c>
      <c r="AQ458">
        <v>5.3373334361573361</v>
      </c>
      <c r="AR458">
        <v>811.84100000000001</v>
      </c>
      <c r="AS458">
        <v>87.254353842716156</v>
      </c>
      <c r="AT458">
        <v>5.3373334361573361</v>
      </c>
      <c r="AU458" s="5">
        <v>65.179002320508971</v>
      </c>
      <c r="AV458" s="5">
        <v>93.100395550178135</v>
      </c>
      <c r="AW458" s="5">
        <v>3.98698807680953</v>
      </c>
      <c r="AX458" s="5">
        <v>5.6949347763798777</v>
      </c>
      <c r="AY458" t="s">
        <v>59</v>
      </c>
      <c r="AZ458" t="s">
        <v>60</v>
      </c>
      <c r="BA458" s="23">
        <f t="shared" si="7"/>
        <v>0</v>
      </c>
      <c r="BB458" s="23">
        <f>IF(AND(ISNUMBER(H458),Metadata!$H$5&gt;Metadata!$G$5),MAX(Metadata!$G$5-H458,0,H458-Metadata!$H$5)/(Metadata!$H$5-Metadata!$G$5),"Missing input")</f>
        <v>0</v>
      </c>
      <c r="BC458" s="23">
        <f>IF(AND(ISNUMBER(L458),Metadata!$H$8&gt;Metadata!$G$8),MAX(Metadata!$G$8-L458,0,L458-Metadata!$H$8)/(Metadata!$H$8-Metadata!$G$8),"Missing input")</f>
        <v>0</v>
      </c>
    </row>
    <row r="459" spans="1:55" x14ac:dyDescent="0.2">
      <c r="A459" t="s">
        <v>547</v>
      </c>
      <c r="B459" t="s">
        <v>530</v>
      </c>
      <c r="C459" t="s">
        <v>466</v>
      </c>
      <c r="D459" t="s">
        <v>55</v>
      </c>
      <c r="E459" t="s">
        <v>467</v>
      </c>
      <c r="F459">
        <v>18</v>
      </c>
      <c r="G459">
        <v>54.165408264435399</v>
      </c>
      <c r="H459">
        <v>18.25275816413232</v>
      </c>
      <c r="I459">
        <v>1.95</v>
      </c>
      <c r="J459">
        <v>1.8</v>
      </c>
      <c r="K459">
        <v>0.54</v>
      </c>
      <c r="L459">
        <v>0.25</v>
      </c>
      <c r="N459">
        <v>125</v>
      </c>
      <c r="O459">
        <v>12</v>
      </c>
      <c r="P459">
        <v>10</v>
      </c>
      <c r="Q459">
        <v>0.53616514621265798</v>
      </c>
      <c r="R459">
        <v>2919725.6187367002</v>
      </c>
      <c r="S459">
        <v>-4.7734717925767391E-3</v>
      </c>
      <c r="T459">
        <v>1482.6203060285859</v>
      </c>
      <c r="U459">
        <v>804.44140245145684</v>
      </c>
      <c r="V459">
        <v>328.01334204172258</v>
      </c>
      <c r="W459">
        <v>2.452465492544305</v>
      </c>
      <c r="X459" t="s">
        <v>57</v>
      </c>
      <c r="Y459">
        <v>8</v>
      </c>
      <c r="Z459">
        <v>934.72199999999998</v>
      </c>
      <c r="AA459">
        <v>95.163399999999996</v>
      </c>
      <c r="AB459">
        <v>51.296399999999998</v>
      </c>
      <c r="AC459">
        <v>16.61421284994401</v>
      </c>
      <c r="AD459">
        <v>77.927701698082814</v>
      </c>
      <c r="AE459">
        <v>77.927701698082814</v>
      </c>
      <c r="AF459" t="s">
        <v>58</v>
      </c>
      <c r="AG459" t="b">
        <v>1</v>
      </c>
      <c r="AH459">
        <v>4.6904239401474523</v>
      </c>
      <c r="AI459">
        <v>928.43499999999995</v>
      </c>
      <c r="AJ459">
        <v>91.310100000000006</v>
      </c>
      <c r="AK459">
        <v>51.757599999999996</v>
      </c>
      <c r="AL459">
        <v>16.24619360490825</v>
      </c>
      <c r="AM459">
        <v>78.452429363042611</v>
      </c>
      <c r="AN459">
        <v>78.452429363042611</v>
      </c>
      <c r="AO459" t="s">
        <v>58</v>
      </c>
      <c r="AP459" t="b">
        <v>1</v>
      </c>
      <c r="AQ459">
        <v>4.828972944120328</v>
      </c>
      <c r="AR459">
        <v>934.72199999999998</v>
      </c>
      <c r="AS459">
        <v>78.452429363042611</v>
      </c>
      <c r="AT459">
        <v>4.828972944120328</v>
      </c>
      <c r="AU459" s="5">
        <v>58.603964734192829</v>
      </c>
      <c r="AV459" s="5">
        <v>83.70874213036646</v>
      </c>
      <c r="AW459" s="5">
        <v>3.6072427892578851</v>
      </c>
      <c r="AX459" s="5">
        <v>5.1525141313763898</v>
      </c>
      <c r="AY459" t="s">
        <v>59</v>
      </c>
      <c r="AZ459" t="s">
        <v>60</v>
      </c>
      <c r="BA459" s="23">
        <f t="shared" si="7"/>
        <v>0</v>
      </c>
      <c r="BB459" s="23">
        <f>IF(AND(ISNUMBER(H459),Metadata!$H$5&gt;Metadata!$G$5),MAX(Metadata!$G$5-H459,0,H459-Metadata!$H$5)/(Metadata!$H$5-Metadata!$G$5),"Missing input")</f>
        <v>0</v>
      </c>
      <c r="BC459" s="23">
        <f>IF(AND(ISNUMBER(L459),Metadata!$H$8&gt;Metadata!$G$8),MAX(Metadata!$G$8-L459,0,L459-Metadata!$H$8)/(Metadata!$H$8-Metadata!$G$8),"Missing input")</f>
        <v>0</v>
      </c>
    </row>
    <row r="460" spans="1:55" x14ac:dyDescent="0.2">
      <c r="A460" t="s">
        <v>548</v>
      </c>
      <c r="B460" t="s">
        <v>530</v>
      </c>
      <c r="C460" t="s">
        <v>466</v>
      </c>
      <c r="D460" t="s">
        <v>55</v>
      </c>
      <c r="E460" t="s">
        <v>467</v>
      </c>
      <c r="F460">
        <v>19</v>
      </c>
      <c r="G460">
        <v>21.707483118551171</v>
      </c>
      <c r="H460">
        <v>43.497365085878002</v>
      </c>
      <c r="I460">
        <v>1.95</v>
      </c>
      <c r="J460">
        <v>1.8</v>
      </c>
      <c r="K460">
        <v>0.54</v>
      </c>
      <c r="L460">
        <v>0.25</v>
      </c>
      <c r="N460">
        <v>125</v>
      </c>
      <c r="O460">
        <v>12</v>
      </c>
      <c r="P460">
        <v>10</v>
      </c>
      <c r="Q460">
        <v>0.53616514621265798</v>
      </c>
      <c r="R460">
        <v>2786376.2799094608</v>
      </c>
      <c r="S460">
        <v>-6.6217881559040613E-3</v>
      </c>
      <c r="T460">
        <v>1554.71021763359</v>
      </c>
      <c r="U460">
        <v>669.89609780516332</v>
      </c>
      <c r="V460">
        <v>343.96243752955542</v>
      </c>
      <c r="W460">
        <v>1.9475850404380319</v>
      </c>
      <c r="X460" t="s">
        <v>57</v>
      </c>
      <c r="Y460">
        <v>8</v>
      </c>
      <c r="Z460">
        <v>665.20299999999997</v>
      </c>
      <c r="AA460">
        <v>95.163399999999996</v>
      </c>
      <c r="AB460">
        <v>34.031300000000002</v>
      </c>
      <c r="AC460">
        <v>16.645930579553632</v>
      </c>
      <c r="AD460">
        <v>38.021220737211898</v>
      </c>
      <c r="AE460">
        <v>38.021220737211898</v>
      </c>
      <c r="AF460" t="s">
        <v>58</v>
      </c>
      <c r="AG460" t="b">
        <v>1</v>
      </c>
      <c r="AH460">
        <v>2.2841150607652869</v>
      </c>
      <c r="AI460">
        <v>666.37900000000002</v>
      </c>
      <c r="AJ460">
        <v>91.310100000000006</v>
      </c>
      <c r="AK460">
        <v>32.289299999999997</v>
      </c>
      <c r="AL460">
        <v>16.246762391823339</v>
      </c>
      <c r="AM460">
        <v>38.565299136348187</v>
      </c>
      <c r="AN460">
        <v>38.565299136348187</v>
      </c>
      <c r="AO460" t="s">
        <v>58</v>
      </c>
      <c r="AP460" t="b">
        <v>1</v>
      </c>
      <c r="AQ460">
        <v>2.37372211190565</v>
      </c>
      <c r="AR460">
        <v>666.37900000000002</v>
      </c>
      <c r="AS460">
        <v>38.565299136348187</v>
      </c>
      <c r="AT460">
        <v>2.37372211190565</v>
      </c>
      <c r="AU460" s="5">
        <v>28.808278454852097</v>
      </c>
      <c r="AV460" s="5">
        <v>41.149174178483513</v>
      </c>
      <c r="AW460" s="5">
        <v>1.7731704175935206</v>
      </c>
      <c r="AX460" s="5">
        <v>2.5327614934033282</v>
      </c>
      <c r="AY460" t="s">
        <v>64</v>
      </c>
      <c r="AZ460" t="s">
        <v>7</v>
      </c>
      <c r="BA460" s="23">
        <f t="shared" si="7"/>
        <v>9.4596678167087334E-2</v>
      </c>
      <c r="BB460" s="23">
        <f>IF(AND(ISNUMBER(H460),Metadata!$H$5&gt;Metadata!$G$5),MAX(Metadata!$G$5-H460,0,H460-Metadata!$H$5)/(Metadata!$H$5-Metadata!$G$5),"Missing input")</f>
        <v>9.4596678167087334E-2</v>
      </c>
      <c r="BC460" s="23">
        <f>IF(AND(ISNUMBER(L460),Metadata!$H$8&gt;Metadata!$G$8),MAX(Metadata!$G$8-L460,0,L460-Metadata!$H$8)/(Metadata!$H$8-Metadata!$G$8),"Missing input")</f>
        <v>0</v>
      </c>
    </row>
    <row r="461" spans="1:55" x14ac:dyDescent="0.2">
      <c r="A461" t="s">
        <v>549</v>
      </c>
      <c r="B461" t="s">
        <v>530</v>
      </c>
      <c r="C461" t="s">
        <v>466</v>
      </c>
      <c r="D461" t="s">
        <v>55</v>
      </c>
      <c r="E461" t="s">
        <v>467</v>
      </c>
      <c r="F461">
        <v>20</v>
      </c>
      <c r="G461">
        <v>53.035991243371583</v>
      </c>
      <c r="H461">
        <v>30.34654288470276</v>
      </c>
      <c r="I461">
        <v>1.95</v>
      </c>
      <c r="J461">
        <v>1.8</v>
      </c>
      <c r="K461">
        <v>0.54</v>
      </c>
      <c r="L461">
        <v>0.25</v>
      </c>
      <c r="N461">
        <v>125</v>
      </c>
      <c r="O461">
        <v>12</v>
      </c>
      <c r="P461">
        <v>10</v>
      </c>
      <c r="Q461">
        <v>0.53616514621265798</v>
      </c>
      <c r="R461">
        <v>4782098.2730990862</v>
      </c>
      <c r="S461">
        <v>-6.2287835206758608E-3</v>
      </c>
      <c r="T461">
        <v>2293.4724479492852</v>
      </c>
      <c r="U461">
        <v>800.59853302729891</v>
      </c>
      <c r="V461">
        <v>507.40540883833751</v>
      </c>
      <c r="W461">
        <v>1.577828141131177</v>
      </c>
      <c r="X461" t="s">
        <v>57</v>
      </c>
      <c r="Y461">
        <v>8</v>
      </c>
      <c r="Z461">
        <v>1104.0999999999999</v>
      </c>
      <c r="AA461">
        <v>95.163399999999996</v>
      </c>
      <c r="AB461">
        <v>41.921900000000001</v>
      </c>
      <c r="AC461">
        <v>16.92661051736701</v>
      </c>
      <c r="AD461">
        <v>47.4363202689605</v>
      </c>
      <c r="AE461">
        <v>47.4363202689605</v>
      </c>
      <c r="AF461" t="s">
        <v>58</v>
      </c>
      <c r="AG461" t="b">
        <v>1</v>
      </c>
      <c r="AH461">
        <v>2.8024701236133471</v>
      </c>
      <c r="AI461">
        <v>1099.1400000000001</v>
      </c>
      <c r="AJ461">
        <v>91.310100000000006</v>
      </c>
      <c r="AK461">
        <v>39.358900000000013</v>
      </c>
      <c r="AL461">
        <v>16.472656606754889</v>
      </c>
      <c r="AM461">
        <v>47.859709868168032</v>
      </c>
      <c r="AN461">
        <v>47.859709868168032</v>
      </c>
      <c r="AO461" t="s">
        <v>58</v>
      </c>
      <c r="AP461" t="b">
        <v>1</v>
      </c>
      <c r="AQ461">
        <v>2.9054032394836882</v>
      </c>
      <c r="AR461">
        <v>1104.0999999999999</v>
      </c>
      <c r="AS461">
        <v>47.859709868168032</v>
      </c>
      <c r="AT461">
        <v>2.9054032394836882</v>
      </c>
      <c r="AU461" s="5">
        <v>35.751203271521518</v>
      </c>
      <c r="AV461" s="5">
        <v>51.066310429335289</v>
      </c>
      <c r="AW461" s="5">
        <v>2.170336219894315</v>
      </c>
      <c r="AX461" s="5">
        <v>3.1000652565290951</v>
      </c>
      <c r="AY461" t="s">
        <v>59</v>
      </c>
      <c r="AZ461" t="s">
        <v>60</v>
      </c>
      <c r="BA461" s="23">
        <f t="shared" si="7"/>
        <v>0</v>
      </c>
      <c r="BB461" s="23">
        <f>IF(AND(ISNUMBER(H461),Metadata!$H$5&gt;Metadata!$G$5),MAX(Metadata!$G$5-H461,0,H461-Metadata!$H$5)/(Metadata!$H$5-Metadata!$G$5),"Missing input")</f>
        <v>0</v>
      </c>
      <c r="BC461" s="23">
        <f>IF(AND(ISNUMBER(L461),Metadata!$H$8&gt;Metadata!$G$8),MAX(Metadata!$G$8-L461,0,L461-Metadata!$H$8)/(Metadata!$H$8-Metadata!$G$8),"Missing input")</f>
        <v>0</v>
      </c>
    </row>
    <row r="462" spans="1:55" x14ac:dyDescent="0.2">
      <c r="A462" t="s">
        <v>550</v>
      </c>
      <c r="B462" t="s">
        <v>551</v>
      </c>
      <c r="C462" t="s">
        <v>466</v>
      </c>
      <c r="D462" t="s">
        <v>55</v>
      </c>
      <c r="E462" t="s">
        <v>467</v>
      </c>
      <c r="F462">
        <v>1</v>
      </c>
      <c r="G462">
        <v>22.11413992487228</v>
      </c>
      <c r="H462">
        <v>28.832065765515338</v>
      </c>
      <c r="I462">
        <v>2.13</v>
      </c>
      <c r="J462">
        <v>2.2000000000000002</v>
      </c>
      <c r="K462">
        <v>0.54</v>
      </c>
      <c r="L462">
        <v>0.25</v>
      </c>
      <c r="N462">
        <v>125</v>
      </c>
      <c r="O462">
        <v>14</v>
      </c>
      <c r="P462">
        <v>8</v>
      </c>
      <c r="Q462">
        <v>0.53616514621265798</v>
      </c>
      <c r="R462">
        <v>1866510.334985178</v>
      </c>
      <c r="S462">
        <v>-6.303705379074394E-3</v>
      </c>
      <c r="T462">
        <v>1209.655588631178</v>
      </c>
      <c r="U462">
        <v>672.06023102885479</v>
      </c>
      <c r="V462">
        <v>267.62291783875611</v>
      </c>
      <c r="W462">
        <v>2.5112207745742232</v>
      </c>
      <c r="X462" t="s">
        <v>57</v>
      </c>
      <c r="Y462">
        <v>8</v>
      </c>
      <c r="Z462">
        <v>674.95299999999997</v>
      </c>
      <c r="AA462">
        <v>95.163399999999996</v>
      </c>
      <c r="AB462">
        <v>44.910200000000003</v>
      </c>
      <c r="AC462">
        <v>19.03875959469843</v>
      </c>
      <c r="AD462">
        <v>58.174927113030947</v>
      </c>
      <c r="AE462">
        <v>58.174927113030947</v>
      </c>
      <c r="AF462" t="s">
        <v>58</v>
      </c>
      <c r="AG462" t="b">
        <v>1</v>
      </c>
      <c r="AH462">
        <v>3.0556049002914278</v>
      </c>
      <c r="AI462">
        <v>669.77200000000005</v>
      </c>
      <c r="AJ462">
        <v>91.310100000000006</v>
      </c>
      <c r="AK462">
        <v>44.887300000000003</v>
      </c>
      <c r="AL462">
        <v>18.651998262724781</v>
      </c>
      <c r="AM462">
        <v>57.003858357053673</v>
      </c>
      <c r="AN462">
        <v>57.003858357053673</v>
      </c>
      <c r="AO462" t="s">
        <v>58</v>
      </c>
      <c r="AP462" t="b">
        <v>1</v>
      </c>
      <c r="AQ462">
        <v>3.056179694750103</v>
      </c>
      <c r="AR462">
        <v>674.95299999999997</v>
      </c>
      <c r="AS462">
        <v>58.174927113030947</v>
      </c>
      <c r="AT462">
        <v>3.056179694750103</v>
      </c>
      <c r="AU462" s="5">
        <v>43.456670553434115</v>
      </c>
      <c r="AV462" s="5">
        <v>62.072647229604016</v>
      </c>
      <c r="AW462" s="5">
        <v>2.2829662319783268</v>
      </c>
      <c r="AX462" s="5">
        <v>3.2609437342983596</v>
      </c>
      <c r="AY462" t="s">
        <v>59</v>
      </c>
      <c r="AZ462" t="s">
        <v>60</v>
      </c>
      <c r="BA462" s="23">
        <f t="shared" si="7"/>
        <v>0</v>
      </c>
      <c r="BB462" s="23">
        <f>IF(AND(ISNUMBER(H462),Metadata!$H$5&gt;Metadata!$G$5),MAX(Metadata!$G$5-H462,0,H462-Metadata!$H$5)/(Metadata!$H$5-Metadata!$G$5),"Missing input")</f>
        <v>0</v>
      </c>
      <c r="BC462" s="23">
        <f>IF(AND(ISNUMBER(L462),Metadata!$H$8&gt;Metadata!$G$8),MAX(Metadata!$G$8-L462,0,L462-Metadata!$H$8)/(Metadata!$H$8-Metadata!$G$8),"Missing input")</f>
        <v>0</v>
      </c>
    </row>
    <row r="463" spans="1:55" x14ac:dyDescent="0.2">
      <c r="A463" t="s">
        <v>552</v>
      </c>
      <c r="B463" t="s">
        <v>551</v>
      </c>
      <c r="C463" t="s">
        <v>466</v>
      </c>
      <c r="D463" t="s">
        <v>55</v>
      </c>
      <c r="E463" t="s">
        <v>467</v>
      </c>
      <c r="F463">
        <v>2</v>
      </c>
      <c r="G463">
        <v>39.289372610104301</v>
      </c>
      <c r="H463">
        <v>11.43599740060767</v>
      </c>
      <c r="I463">
        <v>2.13</v>
      </c>
      <c r="J463">
        <v>2.2000000000000002</v>
      </c>
      <c r="K463">
        <v>0.54</v>
      </c>
      <c r="L463">
        <v>0.25</v>
      </c>
      <c r="N463">
        <v>125</v>
      </c>
      <c r="O463">
        <v>14</v>
      </c>
      <c r="P463">
        <v>8</v>
      </c>
      <c r="Q463">
        <v>0.53616514621265798</v>
      </c>
      <c r="R463">
        <v>1301660.814121977</v>
      </c>
      <c r="S463">
        <v>-3.7245793848457859E-3</v>
      </c>
      <c r="T463">
        <v>964.30583585559009</v>
      </c>
      <c r="U463">
        <v>750.05745558684532</v>
      </c>
      <c r="V463">
        <v>213.3419990830952</v>
      </c>
      <c r="W463">
        <v>3.5157515107688821</v>
      </c>
      <c r="X463" t="s">
        <v>57</v>
      </c>
      <c r="Y463">
        <v>8</v>
      </c>
      <c r="Z463">
        <v>676.95699999999999</v>
      </c>
      <c r="AA463">
        <v>95.157499999999999</v>
      </c>
      <c r="AB463">
        <v>51.296399999999998</v>
      </c>
      <c r="AC463">
        <v>17.13439412640636</v>
      </c>
      <c r="AE463">
        <v>95.157499999999999</v>
      </c>
      <c r="AF463" t="s">
        <v>62</v>
      </c>
      <c r="AG463" t="b">
        <v>0</v>
      </c>
      <c r="AH463">
        <v>5.5535958434240618</v>
      </c>
      <c r="AI463">
        <v>670.68399999999997</v>
      </c>
      <c r="AJ463">
        <v>91.315999999999988</v>
      </c>
      <c r="AK463">
        <v>51.757599999999996</v>
      </c>
      <c r="AL463">
        <v>16.568267182263469</v>
      </c>
      <c r="AM463">
        <v>51.813517183810319</v>
      </c>
      <c r="AN463">
        <v>51.813517183810319</v>
      </c>
      <c r="AO463" t="s">
        <v>58</v>
      </c>
      <c r="AP463" t="b">
        <v>1</v>
      </c>
      <c r="AQ463">
        <v>3.1272743621178032</v>
      </c>
      <c r="AR463">
        <v>676.95699999999999</v>
      </c>
      <c r="AS463">
        <v>95.157499999999999</v>
      </c>
      <c r="AT463">
        <v>5.5535958434240618</v>
      </c>
      <c r="AU463" s="5">
        <v>71.082652499999995</v>
      </c>
      <c r="AV463" s="5">
        <v>101.5330525</v>
      </c>
      <c r="AW463" s="5">
        <v>4.1485360950377741</v>
      </c>
      <c r="AX463" s="5">
        <v>5.9256867649334737</v>
      </c>
      <c r="AY463" t="s">
        <v>59</v>
      </c>
      <c r="AZ463" t="s">
        <v>60</v>
      </c>
      <c r="BA463" s="23">
        <f t="shared" si="7"/>
        <v>0</v>
      </c>
      <c r="BB463" s="23">
        <f>IF(AND(ISNUMBER(H463),Metadata!$H$5&gt;Metadata!$G$5),MAX(Metadata!$G$5-H463,0,H463-Metadata!$H$5)/(Metadata!$H$5-Metadata!$G$5),"Missing input")</f>
        <v>0</v>
      </c>
      <c r="BC463" s="23">
        <f>IF(AND(ISNUMBER(L463),Metadata!$H$8&gt;Metadata!$G$8),MAX(Metadata!$G$8-L463,0,L463-Metadata!$H$8)/(Metadata!$H$8-Metadata!$G$8),"Missing input")</f>
        <v>0</v>
      </c>
    </row>
    <row r="464" spans="1:55" x14ac:dyDescent="0.2">
      <c r="A464" t="s">
        <v>553</v>
      </c>
      <c r="B464" t="s">
        <v>551</v>
      </c>
      <c r="C464" t="s">
        <v>466</v>
      </c>
      <c r="D464" t="s">
        <v>55</v>
      </c>
      <c r="E464" t="s">
        <v>467</v>
      </c>
      <c r="F464">
        <v>3</v>
      </c>
      <c r="G464">
        <v>50.720967279676117</v>
      </c>
      <c r="H464">
        <v>41.572102032205443</v>
      </c>
      <c r="I464">
        <v>2.13</v>
      </c>
      <c r="J464">
        <v>2.2000000000000002</v>
      </c>
      <c r="K464">
        <v>0.54</v>
      </c>
      <c r="L464">
        <v>0.25</v>
      </c>
      <c r="N464">
        <v>125</v>
      </c>
      <c r="O464">
        <v>14</v>
      </c>
      <c r="P464">
        <v>8</v>
      </c>
      <c r="Q464">
        <v>0.53616514621265798</v>
      </c>
      <c r="R464">
        <v>6279453.0057685468</v>
      </c>
      <c r="S464">
        <v>-6.8796084492670643E-3</v>
      </c>
      <c r="T464">
        <v>3069.0453797388141</v>
      </c>
      <c r="U464">
        <v>792.59154081609961</v>
      </c>
      <c r="V464">
        <v>678.99234065018015</v>
      </c>
      <c r="W464">
        <v>1.167305569392934</v>
      </c>
      <c r="X464" t="s">
        <v>57</v>
      </c>
      <c r="Y464">
        <v>8</v>
      </c>
      <c r="Z464">
        <v>1161.8800000000001</v>
      </c>
      <c r="AA464">
        <v>95.163399999999996</v>
      </c>
      <c r="AB464">
        <v>35.7943</v>
      </c>
      <c r="AC464">
        <v>16.942102993881122</v>
      </c>
      <c r="AD464">
        <v>37.96736797900094</v>
      </c>
      <c r="AE464">
        <v>37.96736797900094</v>
      </c>
      <c r="AF464" t="s">
        <v>58</v>
      </c>
      <c r="AG464" t="b">
        <v>1</v>
      </c>
      <c r="AH464">
        <v>2.241006797840468</v>
      </c>
      <c r="AI464">
        <v>1151.6099999999999</v>
      </c>
      <c r="AJ464">
        <v>91.310100000000006</v>
      </c>
      <c r="AK464">
        <v>35.1736</v>
      </c>
      <c r="AL464">
        <v>15.8957039436866</v>
      </c>
      <c r="AM464">
        <v>38.523585083057988</v>
      </c>
      <c r="AN464">
        <v>38.523585083057988</v>
      </c>
      <c r="AO464" t="s">
        <v>58</v>
      </c>
      <c r="AP464" t="b">
        <v>1</v>
      </c>
      <c r="AQ464">
        <v>2.4235218030943919</v>
      </c>
      <c r="AR464">
        <v>1161.8800000000001</v>
      </c>
      <c r="AS464">
        <v>38.523585083057988</v>
      </c>
      <c r="AT464">
        <v>2.4235218030943919</v>
      </c>
      <c r="AU464" s="5">
        <v>28.777118057044316</v>
      </c>
      <c r="AV464" s="5">
        <v>41.104665283622872</v>
      </c>
      <c r="AW464" s="5">
        <v>1.8103707869115107</v>
      </c>
      <c r="AX464" s="5">
        <v>2.5858977639017162</v>
      </c>
      <c r="AY464" t="s">
        <v>64</v>
      </c>
      <c r="AZ464" t="s">
        <v>7</v>
      </c>
      <c r="BA464" s="23">
        <f t="shared" si="7"/>
        <v>4.6063612035701466E-2</v>
      </c>
      <c r="BB464" s="23">
        <f>IF(AND(ISNUMBER(H464),Metadata!$H$5&gt;Metadata!$G$5),MAX(Metadata!$G$5-H464,0,H464-Metadata!$H$5)/(Metadata!$H$5-Metadata!$G$5),"Missing input")</f>
        <v>4.6063612035701466E-2</v>
      </c>
      <c r="BC464" s="23">
        <f>IF(AND(ISNUMBER(L464),Metadata!$H$8&gt;Metadata!$G$8),MAX(Metadata!$G$8-L464,0,L464-Metadata!$H$8)/(Metadata!$H$8-Metadata!$G$8),"Missing input")</f>
        <v>0</v>
      </c>
    </row>
    <row r="465" spans="1:55" x14ac:dyDescent="0.2">
      <c r="A465" t="s">
        <v>554</v>
      </c>
      <c r="B465" t="s">
        <v>551</v>
      </c>
      <c r="C465" t="s">
        <v>466</v>
      </c>
      <c r="D465" t="s">
        <v>55</v>
      </c>
      <c r="E465" t="s">
        <v>467</v>
      </c>
      <c r="F465">
        <v>4</v>
      </c>
      <c r="G465">
        <v>40.065365059576777</v>
      </c>
      <c r="H465">
        <v>25.23064360495534</v>
      </c>
      <c r="I465">
        <v>2.13</v>
      </c>
      <c r="J465">
        <v>2.2000000000000002</v>
      </c>
      <c r="K465">
        <v>0.54</v>
      </c>
      <c r="L465">
        <v>0.25</v>
      </c>
      <c r="N465">
        <v>125</v>
      </c>
      <c r="O465">
        <v>14</v>
      </c>
      <c r="P465">
        <v>8</v>
      </c>
      <c r="Q465">
        <v>0.53616514621265798</v>
      </c>
      <c r="R465">
        <v>2986346.165161836</v>
      </c>
      <c r="S465">
        <v>-5.915804685818659E-3</v>
      </c>
      <c r="T465">
        <v>1603.13542273813</v>
      </c>
      <c r="U465">
        <v>753.12627800274458</v>
      </c>
      <c r="V465">
        <v>354.67597848188711</v>
      </c>
      <c r="W465">
        <v>2.1234205970935411</v>
      </c>
      <c r="X465" t="s">
        <v>57</v>
      </c>
      <c r="Y465">
        <v>8</v>
      </c>
      <c r="Z465">
        <v>899.654</v>
      </c>
      <c r="AA465">
        <v>95.163399999999996</v>
      </c>
      <c r="AB465">
        <v>49.589399999999998</v>
      </c>
      <c r="AC465">
        <v>18.034539834337352</v>
      </c>
      <c r="AD465">
        <v>62.747443141993948</v>
      </c>
      <c r="AE465">
        <v>62.747443141993948</v>
      </c>
      <c r="AF465" t="s">
        <v>58</v>
      </c>
      <c r="AG465" t="b">
        <v>1</v>
      </c>
      <c r="AH465">
        <v>3.479292719325406</v>
      </c>
      <c r="AI465">
        <v>894.96900000000005</v>
      </c>
      <c r="AJ465">
        <v>91.310100000000006</v>
      </c>
      <c r="AK465">
        <v>49.353000000000002</v>
      </c>
      <c r="AL465">
        <v>17.7159866894198</v>
      </c>
      <c r="AM465">
        <v>62.163667259902333</v>
      </c>
      <c r="AN465">
        <v>62.163667259902333</v>
      </c>
      <c r="AO465" t="s">
        <v>58</v>
      </c>
      <c r="AP465" t="b">
        <v>1</v>
      </c>
      <c r="AQ465">
        <v>3.5089023462084241</v>
      </c>
      <c r="AR465">
        <v>899.654</v>
      </c>
      <c r="AS465">
        <v>62.747443141993948</v>
      </c>
      <c r="AT465">
        <v>3.5089023462084241</v>
      </c>
      <c r="AU465" s="5">
        <v>46.872340027069477</v>
      </c>
      <c r="AV465" s="5">
        <v>66.951521832507538</v>
      </c>
      <c r="AW465" s="5">
        <v>2.621150052617693</v>
      </c>
      <c r="AX465" s="5">
        <v>3.7439988034043883</v>
      </c>
      <c r="AY465" t="s">
        <v>59</v>
      </c>
      <c r="AZ465" t="s">
        <v>60</v>
      </c>
      <c r="BA465" s="23">
        <f t="shared" si="7"/>
        <v>0</v>
      </c>
      <c r="BB465" s="23">
        <f>IF(AND(ISNUMBER(H465),Metadata!$H$5&gt;Metadata!$G$5),MAX(Metadata!$G$5-H465,0,H465-Metadata!$H$5)/(Metadata!$H$5-Metadata!$G$5),"Missing input")</f>
        <v>0</v>
      </c>
      <c r="BC465" s="23">
        <f>IF(AND(ISNUMBER(L465),Metadata!$H$8&gt;Metadata!$G$8),MAX(Metadata!$G$8-L465,0,L465-Metadata!$H$8)/(Metadata!$H$8-Metadata!$G$8),"Missing input")</f>
        <v>0</v>
      </c>
    </row>
    <row r="466" spans="1:55" x14ac:dyDescent="0.2">
      <c r="A466" t="s">
        <v>555</v>
      </c>
      <c r="B466" t="s">
        <v>551</v>
      </c>
      <c r="C466" t="s">
        <v>466</v>
      </c>
      <c r="D466" t="s">
        <v>55</v>
      </c>
      <c r="E466" t="s">
        <v>467</v>
      </c>
      <c r="F466">
        <v>5</v>
      </c>
      <c r="G466">
        <v>44.691650234033148</v>
      </c>
      <c r="H466">
        <v>35.278860063057749</v>
      </c>
      <c r="I466">
        <v>2.13</v>
      </c>
      <c r="J466">
        <v>2.2000000000000002</v>
      </c>
      <c r="K466">
        <v>0.54</v>
      </c>
      <c r="L466">
        <v>0.25</v>
      </c>
      <c r="N466">
        <v>125</v>
      </c>
      <c r="O466">
        <v>14</v>
      </c>
      <c r="P466">
        <v>8</v>
      </c>
      <c r="Q466">
        <v>0.53616514621265798</v>
      </c>
      <c r="R466">
        <v>4683732.748780732</v>
      </c>
      <c r="S466">
        <v>-6.7409313379183239E-3</v>
      </c>
      <c r="T466">
        <v>2338.4527413398778</v>
      </c>
      <c r="U466">
        <v>770.83560231362162</v>
      </c>
      <c r="V466">
        <v>517.35680118138907</v>
      </c>
      <c r="W466">
        <v>1.489949683764495</v>
      </c>
      <c r="X466" t="s">
        <v>57</v>
      </c>
      <c r="Y466">
        <v>8</v>
      </c>
      <c r="Z466">
        <v>1039.6400000000001</v>
      </c>
      <c r="AA466">
        <v>95.163399999999996</v>
      </c>
      <c r="AB466">
        <v>37.809100000000001</v>
      </c>
      <c r="AC466">
        <v>17.293004977029099</v>
      </c>
      <c r="AD466">
        <v>45.067883679808837</v>
      </c>
      <c r="AE466">
        <v>45.067883679808837</v>
      </c>
      <c r="AF466" t="s">
        <v>58</v>
      </c>
      <c r="AG466" t="b">
        <v>1</v>
      </c>
      <c r="AH466">
        <v>2.60613373671459</v>
      </c>
      <c r="AI466">
        <v>1041.45</v>
      </c>
      <c r="AJ466">
        <v>91.310100000000006</v>
      </c>
      <c r="AK466">
        <v>39.358900000000013</v>
      </c>
      <c r="AL466">
        <v>16.987486307660198</v>
      </c>
      <c r="AM466">
        <v>43.817795712634037</v>
      </c>
      <c r="AN466">
        <v>43.817795712634037</v>
      </c>
      <c r="AO466" t="s">
        <v>58</v>
      </c>
      <c r="AP466" t="b">
        <v>1</v>
      </c>
      <c r="AQ466">
        <v>2.5794161018911428</v>
      </c>
      <c r="AR466">
        <v>1041.45</v>
      </c>
      <c r="AS466">
        <v>45.067883679808837</v>
      </c>
      <c r="AT466">
        <v>2.60613373671459</v>
      </c>
      <c r="AU466" s="5">
        <v>33.665709108817204</v>
      </c>
      <c r="AV466" s="5">
        <v>48.087431886356029</v>
      </c>
      <c r="AW466" s="5">
        <v>1.9467819013257988</v>
      </c>
      <c r="AX466" s="5">
        <v>2.7807446970744674</v>
      </c>
      <c r="AY466" t="s">
        <v>59</v>
      </c>
      <c r="AZ466" t="s">
        <v>60</v>
      </c>
      <c r="BA466" s="23">
        <f t="shared" si="7"/>
        <v>0</v>
      </c>
      <c r="BB466" s="23">
        <f>IF(AND(ISNUMBER(H466),Metadata!$H$5&gt;Metadata!$G$5),MAX(Metadata!$G$5-H466,0,H466-Metadata!$H$5)/(Metadata!$H$5-Metadata!$G$5),"Missing input")</f>
        <v>0</v>
      </c>
      <c r="BC466" s="23">
        <f>IF(AND(ISNUMBER(L466),Metadata!$H$8&gt;Metadata!$G$8),MAX(Metadata!$G$8-L466,0,L466-Metadata!$H$8)/(Metadata!$H$8-Metadata!$G$8),"Missing input")</f>
        <v>0</v>
      </c>
    </row>
    <row r="467" spans="1:55" x14ac:dyDescent="0.2">
      <c r="A467" t="s">
        <v>556</v>
      </c>
      <c r="B467" t="s">
        <v>551</v>
      </c>
      <c r="C467" t="s">
        <v>466</v>
      </c>
      <c r="D467" t="s">
        <v>55</v>
      </c>
      <c r="E467" t="s">
        <v>467</v>
      </c>
      <c r="F467">
        <v>6</v>
      </c>
      <c r="G467">
        <v>33.086500490231572</v>
      </c>
      <c r="H467">
        <v>19.79580616436397</v>
      </c>
      <c r="I467">
        <v>2.13</v>
      </c>
      <c r="J467">
        <v>2.2000000000000002</v>
      </c>
      <c r="K467">
        <v>0.54</v>
      </c>
      <c r="L467">
        <v>0.25</v>
      </c>
      <c r="N467">
        <v>125</v>
      </c>
      <c r="O467">
        <v>14</v>
      </c>
      <c r="P467">
        <v>8</v>
      </c>
      <c r="Q467">
        <v>0.53616514621265798</v>
      </c>
      <c r="R467">
        <v>1918643.176085273</v>
      </c>
      <c r="S467">
        <v>-5.1499716897993111E-3</v>
      </c>
      <c r="T467">
        <v>1195.614885565991</v>
      </c>
      <c r="U467">
        <v>724.34809556380162</v>
      </c>
      <c r="V467">
        <v>264.5165676030955</v>
      </c>
      <c r="W467">
        <v>2.7383846014918758</v>
      </c>
      <c r="X467" t="s">
        <v>57</v>
      </c>
      <c r="Y467">
        <v>8</v>
      </c>
      <c r="Z467">
        <v>743.08399999999995</v>
      </c>
      <c r="AA467">
        <v>95.156199999999998</v>
      </c>
      <c r="AB467">
        <v>53.353299999999997</v>
      </c>
      <c r="AC467">
        <v>17.910550857719478</v>
      </c>
      <c r="AD467">
        <v>65.40963558481242</v>
      </c>
      <c r="AE467">
        <v>65.40963558481242</v>
      </c>
      <c r="AF467" t="s">
        <v>58</v>
      </c>
      <c r="AG467" t="b">
        <v>1</v>
      </c>
      <c r="AH467">
        <v>3.6520169649958452</v>
      </c>
      <c r="AI467">
        <v>736.12300000000005</v>
      </c>
      <c r="AJ467">
        <v>91.3172</v>
      </c>
      <c r="AK467">
        <v>39.358900000000013</v>
      </c>
      <c r="AL467">
        <v>17.431224436787701</v>
      </c>
      <c r="AM467">
        <v>39.502895872668738</v>
      </c>
      <c r="AN467">
        <v>39.502895872668738</v>
      </c>
      <c r="AO467" t="s">
        <v>58</v>
      </c>
      <c r="AP467" t="b">
        <v>1</v>
      </c>
      <c r="AQ467">
        <v>2.2662146320197629</v>
      </c>
      <c r="AR467">
        <v>743.08399999999995</v>
      </c>
      <c r="AS467">
        <v>65.40963558481242</v>
      </c>
      <c r="AT467">
        <v>3.6520169649958452</v>
      </c>
      <c r="AU467" s="5">
        <v>48.860997781854877</v>
      </c>
      <c r="AV467" s="5">
        <v>69.792081168994855</v>
      </c>
      <c r="AW467" s="5">
        <v>2.7280566728518965</v>
      </c>
      <c r="AX467" s="5">
        <v>3.8967021016505665</v>
      </c>
      <c r="AY467" t="s">
        <v>59</v>
      </c>
      <c r="AZ467" t="s">
        <v>60</v>
      </c>
      <c r="BA467" s="23">
        <f t="shared" si="7"/>
        <v>0</v>
      </c>
      <c r="BB467" s="23">
        <f>IF(AND(ISNUMBER(H467),Metadata!$H$5&gt;Metadata!$G$5),MAX(Metadata!$G$5-H467,0,H467-Metadata!$H$5)/(Metadata!$H$5-Metadata!$G$5),"Missing input")</f>
        <v>0</v>
      </c>
      <c r="BC467" s="23">
        <f>IF(AND(ISNUMBER(L467),Metadata!$H$8&gt;Metadata!$G$8),MAX(Metadata!$G$8-L467,0,L467-Metadata!$H$8)/(Metadata!$H$8-Metadata!$G$8),"Missing input")</f>
        <v>0</v>
      </c>
    </row>
    <row r="468" spans="1:55" x14ac:dyDescent="0.2">
      <c r="A468" t="s">
        <v>557</v>
      </c>
      <c r="B468" t="s">
        <v>551</v>
      </c>
      <c r="C468" t="s">
        <v>466</v>
      </c>
      <c r="D468" t="s">
        <v>55</v>
      </c>
      <c r="E468" t="s">
        <v>467</v>
      </c>
      <c r="F468">
        <v>7</v>
      </c>
      <c r="G468">
        <v>42.943727860216583</v>
      </c>
      <c r="H468">
        <v>31.604415760045629</v>
      </c>
      <c r="I468">
        <v>2.13</v>
      </c>
      <c r="J468">
        <v>2.2000000000000002</v>
      </c>
      <c r="K468">
        <v>0.54</v>
      </c>
      <c r="L468">
        <v>0.25</v>
      </c>
      <c r="N468">
        <v>125</v>
      </c>
      <c r="O468">
        <v>14</v>
      </c>
      <c r="P468">
        <v>8</v>
      </c>
      <c r="Q468">
        <v>0.53616514621265798</v>
      </c>
      <c r="R468">
        <v>4025355.613741619</v>
      </c>
      <c r="S468">
        <v>-6.5314713255867187E-3</v>
      </c>
      <c r="T468">
        <v>2044.972306488467</v>
      </c>
      <c r="U468">
        <v>764.25751687900618</v>
      </c>
      <c r="V468">
        <v>452.42750143550171</v>
      </c>
      <c r="W468">
        <v>1.689237534089115</v>
      </c>
      <c r="X468" t="s">
        <v>57</v>
      </c>
      <c r="Y468">
        <v>8</v>
      </c>
      <c r="Z468">
        <v>995.08900000000006</v>
      </c>
      <c r="AA468">
        <v>95.163399999999996</v>
      </c>
      <c r="AB468">
        <v>43.117199999999997</v>
      </c>
      <c r="AC468">
        <v>17.712446760911341</v>
      </c>
      <c r="AD468">
        <v>49.606686127568082</v>
      </c>
      <c r="AE468">
        <v>49.606686127568082</v>
      </c>
      <c r="AF468" t="s">
        <v>58</v>
      </c>
      <c r="AG468" t="b">
        <v>1</v>
      </c>
      <c r="AH468">
        <v>2.800668185326177</v>
      </c>
      <c r="AI468">
        <v>987.63699999999994</v>
      </c>
      <c r="AJ468">
        <v>91.310100000000006</v>
      </c>
      <c r="AK468">
        <v>39.358900000000013</v>
      </c>
      <c r="AL468">
        <v>17.18705913386702</v>
      </c>
      <c r="AM468">
        <v>49.575621033931426</v>
      </c>
      <c r="AN468">
        <v>49.575621033931426</v>
      </c>
      <c r="AO468" t="s">
        <v>58</v>
      </c>
      <c r="AP468" t="b">
        <v>1</v>
      </c>
      <c r="AQ468">
        <v>2.8844737571329402</v>
      </c>
      <c r="AR468">
        <v>995.08900000000006</v>
      </c>
      <c r="AS468">
        <v>49.606686127568082</v>
      </c>
      <c r="AT468">
        <v>2.8844737571329402</v>
      </c>
      <c r="AU468" s="5">
        <v>37.056194537293358</v>
      </c>
      <c r="AV468" s="5">
        <v>52.930334098115139</v>
      </c>
      <c r="AW468" s="5">
        <v>2.1547018965783065</v>
      </c>
      <c r="AX468" s="5">
        <v>3.0777334988608471</v>
      </c>
      <c r="AY468" t="s">
        <v>59</v>
      </c>
      <c r="AZ468" t="s">
        <v>60</v>
      </c>
      <c r="BA468" s="23">
        <f t="shared" si="7"/>
        <v>0</v>
      </c>
      <c r="BB468" s="23">
        <f>IF(AND(ISNUMBER(H468),Metadata!$H$5&gt;Metadata!$G$5),MAX(Metadata!$G$5-H468,0,H468-Metadata!$H$5)/(Metadata!$H$5-Metadata!$G$5),"Missing input")</f>
        <v>0</v>
      </c>
      <c r="BC468" s="23">
        <f>IF(AND(ISNUMBER(L468),Metadata!$H$8&gt;Metadata!$G$8),MAX(Metadata!$G$8-L468,0,L468-Metadata!$H$8)/(Metadata!$H$8-Metadata!$G$8),"Missing input")</f>
        <v>0</v>
      </c>
    </row>
    <row r="469" spans="1:55" x14ac:dyDescent="0.2">
      <c r="A469" t="s">
        <v>558</v>
      </c>
      <c r="B469" t="s">
        <v>551</v>
      </c>
      <c r="C469" t="s">
        <v>466</v>
      </c>
      <c r="D469" t="s">
        <v>55</v>
      </c>
      <c r="E469" t="s">
        <v>467</v>
      </c>
      <c r="F469">
        <v>8</v>
      </c>
      <c r="G469">
        <v>29.155454969686971</v>
      </c>
      <c r="H469">
        <v>7.3398505058277053</v>
      </c>
      <c r="I469">
        <v>2.13</v>
      </c>
      <c r="J469">
        <v>2.2000000000000002</v>
      </c>
      <c r="K469">
        <v>0.54</v>
      </c>
      <c r="L469">
        <v>0.25</v>
      </c>
      <c r="N469">
        <v>125</v>
      </c>
      <c r="O469">
        <v>14</v>
      </c>
      <c r="P469">
        <v>8</v>
      </c>
      <c r="Q469">
        <v>0.53616514621265798</v>
      </c>
      <c r="R469">
        <v>595711.36772068124</v>
      </c>
      <c r="S469">
        <v>-3.0325768967640171E-3</v>
      </c>
      <c r="T469">
        <v>758.783417533793</v>
      </c>
      <c r="U469">
        <v>706.7858992589853</v>
      </c>
      <c r="V469">
        <v>167.87243750747629</v>
      </c>
      <c r="W469">
        <v>4.2102557736883277</v>
      </c>
      <c r="X469" t="s">
        <v>57</v>
      </c>
      <c r="Y469">
        <v>8</v>
      </c>
      <c r="Z469">
        <v>541.02599999999995</v>
      </c>
      <c r="AA469">
        <v>95.163399999999996</v>
      </c>
      <c r="AB469">
        <v>51.296399999999998</v>
      </c>
      <c r="AC469">
        <v>17.82991054716981</v>
      </c>
      <c r="AE469">
        <v>95.163399999999996</v>
      </c>
      <c r="AF469" t="s">
        <v>62</v>
      </c>
      <c r="AG469" t="b">
        <v>0</v>
      </c>
      <c r="AH469">
        <v>5.3372898169197782</v>
      </c>
      <c r="AI469">
        <v>534.19100000000003</v>
      </c>
      <c r="AJ469">
        <v>91.310100000000006</v>
      </c>
      <c r="AK469">
        <v>64.811499999999995</v>
      </c>
      <c r="AL469">
        <v>17.146798175021988</v>
      </c>
      <c r="AN469">
        <v>91.310100000000006</v>
      </c>
      <c r="AO469" t="s">
        <v>62</v>
      </c>
      <c r="AP469" t="b">
        <v>0</v>
      </c>
      <c r="AQ469">
        <v>5.3251982713025026</v>
      </c>
      <c r="AR469">
        <v>541.02599999999995</v>
      </c>
      <c r="AS469">
        <v>95.163399999999996</v>
      </c>
      <c r="AT469">
        <v>5.3372898169197782</v>
      </c>
      <c r="AU469" s="5">
        <v>71.087059799999992</v>
      </c>
      <c r="AV469" s="5">
        <v>101.53934779999999</v>
      </c>
      <c r="AW469" s="5">
        <v>3.9869554932390745</v>
      </c>
      <c r="AX469" s="5">
        <v>5.6948882346534031</v>
      </c>
      <c r="AY469" t="s">
        <v>59</v>
      </c>
      <c r="AZ469" t="s">
        <v>60</v>
      </c>
      <c r="BA469" s="23">
        <f t="shared" si="7"/>
        <v>0</v>
      </c>
      <c r="BB469" s="23">
        <f>IF(AND(ISNUMBER(H469),Metadata!$H$5&gt;Metadata!$G$5),MAX(Metadata!$G$5-H469,0,H469-Metadata!$H$5)/(Metadata!$H$5-Metadata!$G$5),"Missing input")</f>
        <v>0</v>
      </c>
      <c r="BC469" s="23">
        <f>IF(AND(ISNUMBER(L469),Metadata!$H$8&gt;Metadata!$G$8),MAX(Metadata!$G$8-L469,0,L469-Metadata!$H$8)/(Metadata!$H$8-Metadata!$G$8),"Missing input")</f>
        <v>0</v>
      </c>
    </row>
    <row r="470" spans="1:55" x14ac:dyDescent="0.2">
      <c r="A470" t="s">
        <v>559</v>
      </c>
      <c r="B470" t="s">
        <v>551</v>
      </c>
      <c r="C470" t="s">
        <v>466</v>
      </c>
      <c r="D470" t="s">
        <v>55</v>
      </c>
      <c r="E470" t="s">
        <v>467</v>
      </c>
      <c r="F470">
        <v>9</v>
      </c>
      <c r="G470">
        <v>59.748609235827082</v>
      </c>
      <c r="H470">
        <v>37.783512331141722</v>
      </c>
      <c r="I470">
        <v>2.13</v>
      </c>
      <c r="J470">
        <v>2.2000000000000002</v>
      </c>
      <c r="K470">
        <v>0.54</v>
      </c>
      <c r="L470">
        <v>0.25</v>
      </c>
      <c r="N470">
        <v>125</v>
      </c>
      <c r="O470">
        <v>14</v>
      </c>
      <c r="P470">
        <v>8</v>
      </c>
      <c r="Q470">
        <v>0.53616514621265798</v>
      </c>
      <c r="R470">
        <v>6726258.2664913209</v>
      </c>
      <c r="S470">
        <v>-6.8273291907725341E-3</v>
      </c>
      <c r="T470">
        <v>3233.0006461058429</v>
      </c>
      <c r="U470">
        <v>822.87545002106197</v>
      </c>
      <c r="V470">
        <v>715.26562966943436</v>
      </c>
      <c r="W470">
        <v>1.150447352546998</v>
      </c>
      <c r="X470" t="s">
        <v>57</v>
      </c>
      <c r="Y470">
        <v>8</v>
      </c>
      <c r="Z470">
        <v>1290.53</v>
      </c>
      <c r="AA470">
        <v>95.163399999999996</v>
      </c>
      <c r="AB470">
        <v>37.809100000000001</v>
      </c>
      <c r="AC470">
        <v>17.31614041836735</v>
      </c>
      <c r="AD470">
        <v>41.493266756855583</v>
      </c>
      <c r="AE470">
        <v>41.493266756855583</v>
      </c>
      <c r="AF470" t="s">
        <v>58</v>
      </c>
      <c r="AG470" t="b">
        <v>1</v>
      </c>
      <c r="AH470">
        <v>2.3962191201015779</v>
      </c>
      <c r="AI470">
        <v>1286.55</v>
      </c>
      <c r="AJ470">
        <v>91.310100000000006</v>
      </c>
      <c r="AK470">
        <v>37.789400000000001</v>
      </c>
      <c r="AL470">
        <v>16.618416</v>
      </c>
      <c r="AM470">
        <v>39.929501506541328</v>
      </c>
      <c r="AN470">
        <v>39.929501506541328</v>
      </c>
      <c r="AO470" t="s">
        <v>58</v>
      </c>
      <c r="AP470" t="b">
        <v>1</v>
      </c>
      <c r="AQ470">
        <v>2.4027260784987772</v>
      </c>
      <c r="AR470">
        <v>1290.53</v>
      </c>
      <c r="AS470">
        <v>41.493266756855583</v>
      </c>
      <c r="AT470">
        <v>2.4027260784987772</v>
      </c>
      <c r="AU470" s="5">
        <v>30.995470267371122</v>
      </c>
      <c r="AV470" s="5">
        <v>44.273315629564905</v>
      </c>
      <c r="AW470" s="5">
        <v>1.7948363806385865</v>
      </c>
      <c r="AX470" s="5">
        <v>2.563708725758195</v>
      </c>
      <c r="AY470" t="s">
        <v>59</v>
      </c>
      <c r="AZ470" t="s">
        <v>60</v>
      </c>
      <c r="BA470" s="23">
        <f t="shared" si="7"/>
        <v>0</v>
      </c>
      <c r="BB470" s="23">
        <f>IF(AND(ISNUMBER(H470),Metadata!$H$5&gt;Metadata!$G$5),MAX(Metadata!$G$5-H470,0,H470-Metadata!$H$5)/(Metadata!$H$5-Metadata!$G$5),"Missing input")</f>
        <v>0</v>
      </c>
      <c r="BC470" s="23">
        <f>IF(AND(ISNUMBER(L470),Metadata!$H$8&gt;Metadata!$G$8),MAX(Metadata!$G$8-L470,0,L470-Metadata!$H$8)/(Metadata!$H$8-Metadata!$G$8),"Missing input")</f>
        <v>0</v>
      </c>
    </row>
    <row r="471" spans="1:55" x14ac:dyDescent="0.2">
      <c r="A471" t="s">
        <v>560</v>
      </c>
      <c r="B471" t="s">
        <v>551</v>
      </c>
      <c r="C471" t="s">
        <v>466</v>
      </c>
      <c r="D471" t="s">
        <v>55</v>
      </c>
      <c r="E471" t="s">
        <v>467</v>
      </c>
      <c r="F471">
        <v>10</v>
      </c>
      <c r="G471">
        <v>34.746337553007109</v>
      </c>
      <c r="H471">
        <v>23.7414613202046</v>
      </c>
      <c r="I471">
        <v>2.13</v>
      </c>
      <c r="J471">
        <v>2.2000000000000002</v>
      </c>
      <c r="K471">
        <v>0.54</v>
      </c>
      <c r="L471">
        <v>0.25</v>
      </c>
      <c r="N471">
        <v>125</v>
      </c>
      <c r="O471">
        <v>14</v>
      </c>
      <c r="P471">
        <v>8</v>
      </c>
      <c r="Q471">
        <v>0.53616514621265798</v>
      </c>
      <c r="R471">
        <v>2428507.8121004719</v>
      </c>
      <c r="S471">
        <v>-5.7259871243564159E-3</v>
      </c>
      <c r="T471">
        <v>1391.2448599306199</v>
      </c>
      <c r="U471">
        <v>731.44834288856589</v>
      </c>
      <c r="V471">
        <v>307.79753538288048</v>
      </c>
      <c r="W471">
        <v>2.3763944112765261</v>
      </c>
      <c r="X471" t="s">
        <v>57</v>
      </c>
      <c r="Y471">
        <v>8</v>
      </c>
      <c r="Z471">
        <v>815.33399999999995</v>
      </c>
      <c r="AA471">
        <v>95.163399999999996</v>
      </c>
      <c r="AB471">
        <v>51.296399999999998</v>
      </c>
      <c r="AC471">
        <v>18.30517573529411</v>
      </c>
      <c r="AD471">
        <v>65.308128061571054</v>
      </c>
      <c r="AE471">
        <v>65.308128061571054</v>
      </c>
      <c r="AF471" t="s">
        <v>58</v>
      </c>
      <c r="AG471" t="b">
        <v>1</v>
      </c>
      <c r="AH471">
        <v>3.5677411135502402</v>
      </c>
      <c r="AI471">
        <v>809.30899999999997</v>
      </c>
      <c r="AJ471">
        <v>91.310100000000006</v>
      </c>
      <c r="AK471">
        <v>51.414000000000001</v>
      </c>
      <c r="AL471">
        <v>17.92468109867222</v>
      </c>
      <c r="AM471">
        <v>64.850584733646997</v>
      </c>
      <c r="AN471">
        <v>64.850584733646997</v>
      </c>
      <c r="AO471" t="s">
        <v>58</v>
      </c>
      <c r="AP471" t="b">
        <v>1</v>
      </c>
      <c r="AQ471">
        <v>3.617949149368735</v>
      </c>
      <c r="AR471">
        <v>815.33399999999995</v>
      </c>
      <c r="AS471">
        <v>65.308128061571054</v>
      </c>
      <c r="AT471">
        <v>3.617949149368735</v>
      </c>
      <c r="AU471" s="5">
        <v>48.78517166199358</v>
      </c>
      <c r="AV471" s="5">
        <v>69.683772641696308</v>
      </c>
      <c r="AW471" s="5">
        <v>2.7026080145784452</v>
      </c>
      <c r="AX471" s="5">
        <v>3.86035174237644</v>
      </c>
      <c r="AY471" t="s">
        <v>59</v>
      </c>
      <c r="AZ471" t="s">
        <v>60</v>
      </c>
      <c r="BA471" s="23">
        <f t="shared" si="7"/>
        <v>0</v>
      </c>
      <c r="BB471" s="23">
        <f>IF(AND(ISNUMBER(H471),Metadata!$H$5&gt;Metadata!$G$5),MAX(Metadata!$G$5-H471,0,H471-Metadata!$H$5)/(Metadata!$H$5-Metadata!$G$5),"Missing input")</f>
        <v>0</v>
      </c>
      <c r="BC471" s="23">
        <f>IF(AND(ISNUMBER(L471),Metadata!$H$8&gt;Metadata!$G$8),MAX(Metadata!$G$8-L471,0,L471-Metadata!$H$8)/(Metadata!$H$8-Metadata!$G$8),"Missing input")</f>
        <v>0</v>
      </c>
    </row>
    <row r="472" spans="1:55" x14ac:dyDescent="0.2">
      <c r="A472" t="s">
        <v>561</v>
      </c>
      <c r="B472" t="s">
        <v>551</v>
      </c>
      <c r="C472" t="s">
        <v>466</v>
      </c>
      <c r="D472" t="s">
        <v>55</v>
      </c>
      <c r="E472" t="s">
        <v>467</v>
      </c>
      <c r="F472">
        <v>11</v>
      </c>
      <c r="G472">
        <v>24.502161634428251</v>
      </c>
      <c r="H472">
        <v>33.048591474592847</v>
      </c>
      <c r="I472">
        <v>2.13</v>
      </c>
      <c r="J472">
        <v>2.2000000000000002</v>
      </c>
      <c r="K472">
        <v>0.54</v>
      </c>
      <c r="L472">
        <v>0.25</v>
      </c>
      <c r="N472">
        <v>125</v>
      </c>
      <c r="O472">
        <v>14</v>
      </c>
      <c r="P472">
        <v>8</v>
      </c>
      <c r="Q472">
        <v>0.53616514621265798</v>
      </c>
      <c r="R472">
        <v>2383007.1153019848</v>
      </c>
      <c r="S472">
        <v>-6.6260309502438513E-3</v>
      </c>
      <c r="T472">
        <v>1412.414508005405</v>
      </c>
      <c r="U472">
        <v>684.38581388777777</v>
      </c>
      <c r="V472">
        <v>312.48108584190379</v>
      </c>
      <c r="W472">
        <v>2.190167164978539</v>
      </c>
      <c r="X472" t="s">
        <v>57</v>
      </c>
      <c r="Y472">
        <v>8</v>
      </c>
      <c r="Z472">
        <v>723.61199999999997</v>
      </c>
      <c r="AA472">
        <v>95.163399999999996</v>
      </c>
      <c r="AB472">
        <v>42.220700000000001</v>
      </c>
      <c r="AC472">
        <v>18.396016333808841</v>
      </c>
      <c r="AD472">
        <v>51.342908898957859</v>
      </c>
      <c r="AE472">
        <v>51.342908898957859</v>
      </c>
      <c r="AF472" t="s">
        <v>58</v>
      </c>
      <c r="AG472" t="b">
        <v>1</v>
      </c>
      <c r="AH472">
        <v>2.790979740793015</v>
      </c>
      <c r="AI472">
        <v>721.51700000000005</v>
      </c>
      <c r="AJ472">
        <v>91.310100000000006</v>
      </c>
      <c r="AK472">
        <v>39.358900000000013</v>
      </c>
      <c r="AL472">
        <v>18.142261682444069</v>
      </c>
      <c r="AM472">
        <v>51.344020590081612</v>
      </c>
      <c r="AN472">
        <v>51.344020590081612</v>
      </c>
      <c r="AO472" t="s">
        <v>58</v>
      </c>
      <c r="AP472" t="b">
        <v>1</v>
      </c>
      <c r="AQ472">
        <v>2.8300782718709359</v>
      </c>
      <c r="AR472">
        <v>723.61199999999997</v>
      </c>
      <c r="AS472">
        <v>51.344020590081612</v>
      </c>
      <c r="AT472">
        <v>2.8300782718709359</v>
      </c>
      <c r="AU472" s="5">
        <v>38.353983380790964</v>
      </c>
      <c r="AV472" s="5">
        <v>54.784069969617079</v>
      </c>
      <c r="AW472" s="5">
        <v>2.1140684690875893</v>
      </c>
      <c r="AX472" s="5">
        <v>3.0196935160862886</v>
      </c>
      <c r="AY472" t="s">
        <v>59</v>
      </c>
      <c r="AZ472" t="s">
        <v>60</v>
      </c>
      <c r="BA472" s="23">
        <f t="shared" si="7"/>
        <v>0</v>
      </c>
      <c r="BB472" s="23">
        <f>IF(AND(ISNUMBER(H472),Metadata!$H$5&gt;Metadata!$G$5),MAX(Metadata!$G$5-H472,0,H472-Metadata!$H$5)/(Metadata!$H$5-Metadata!$G$5),"Missing input")</f>
        <v>0</v>
      </c>
      <c r="BC472" s="23">
        <f>IF(AND(ISNUMBER(L472),Metadata!$H$8&gt;Metadata!$G$8),MAX(Metadata!$G$8-L472,0,L472-Metadata!$H$8)/(Metadata!$H$8-Metadata!$G$8),"Missing input")</f>
        <v>0</v>
      </c>
    </row>
    <row r="473" spans="1:55" x14ac:dyDescent="0.2">
      <c r="A473" t="s">
        <v>562</v>
      </c>
      <c r="B473" t="s">
        <v>551</v>
      </c>
      <c r="C473" t="s">
        <v>466</v>
      </c>
      <c r="D473" t="s">
        <v>55</v>
      </c>
      <c r="E473" t="s">
        <v>467</v>
      </c>
      <c r="F473">
        <v>12</v>
      </c>
      <c r="G473">
        <v>56.241153781572699</v>
      </c>
      <c r="H473">
        <v>14.78764467513273</v>
      </c>
      <c r="I473">
        <v>2.13</v>
      </c>
      <c r="J473">
        <v>2.2000000000000002</v>
      </c>
      <c r="K473">
        <v>0.54</v>
      </c>
      <c r="L473">
        <v>0.25</v>
      </c>
      <c r="N473">
        <v>125</v>
      </c>
      <c r="O473">
        <v>14</v>
      </c>
      <c r="P473">
        <v>8</v>
      </c>
      <c r="Q473">
        <v>0.53616514621265798</v>
      </c>
      <c r="R473">
        <v>2448743.9197241841</v>
      </c>
      <c r="S473">
        <v>-4.3106966397312117E-3</v>
      </c>
      <c r="T473">
        <v>1344.2135906839519</v>
      </c>
      <c r="U473">
        <v>811.40111588676484</v>
      </c>
      <c r="V473">
        <v>297.39238731945841</v>
      </c>
      <c r="W473">
        <v>2.7283856295055702</v>
      </c>
      <c r="X473" t="s">
        <v>57</v>
      </c>
      <c r="Y473">
        <v>8</v>
      </c>
      <c r="Z473">
        <v>893.31100000000004</v>
      </c>
      <c r="AA473">
        <v>95.156199999999998</v>
      </c>
      <c r="AB473">
        <v>64.567799999999991</v>
      </c>
      <c r="AC473">
        <v>16.65897028341206</v>
      </c>
      <c r="AE473">
        <v>95.156199999999998</v>
      </c>
      <c r="AF473" t="s">
        <v>62</v>
      </c>
      <c r="AG473" t="b">
        <v>0</v>
      </c>
      <c r="AH473">
        <v>5.712009708952448</v>
      </c>
      <c r="AI473">
        <v>878.41499999999996</v>
      </c>
      <c r="AJ473">
        <v>77.397099999999995</v>
      </c>
      <c r="AK473">
        <v>39.358900000000013</v>
      </c>
      <c r="AL473">
        <v>15.90370891451683</v>
      </c>
      <c r="AM473">
        <v>39.474347886139711</v>
      </c>
      <c r="AN473">
        <v>39.474347886139711</v>
      </c>
      <c r="AO473" t="s">
        <v>58</v>
      </c>
      <c r="AP473" t="b">
        <v>1</v>
      </c>
      <c r="AQ473">
        <v>2.4820844054878108</v>
      </c>
      <c r="AR473">
        <v>893.31100000000004</v>
      </c>
      <c r="AS473">
        <v>95.156199999999998</v>
      </c>
      <c r="AT473">
        <v>5.712009708952448</v>
      </c>
      <c r="AU473" s="5">
        <v>71.081681399999994</v>
      </c>
      <c r="AV473" s="5">
        <v>101.53166539999999</v>
      </c>
      <c r="AW473" s="5">
        <v>4.266871252587479</v>
      </c>
      <c r="AX473" s="5">
        <v>6.0947143594522615</v>
      </c>
      <c r="AY473" t="s">
        <v>59</v>
      </c>
      <c r="AZ473" t="s">
        <v>60</v>
      </c>
      <c r="BA473" s="23">
        <f t="shared" si="7"/>
        <v>0</v>
      </c>
      <c r="BB473" s="23">
        <f>IF(AND(ISNUMBER(H473),Metadata!$H$5&gt;Metadata!$G$5),MAX(Metadata!$G$5-H473,0,H473-Metadata!$H$5)/(Metadata!$H$5-Metadata!$G$5),"Missing input")</f>
        <v>0</v>
      </c>
      <c r="BC473" s="23">
        <f>IF(AND(ISNUMBER(L473),Metadata!$H$8&gt;Metadata!$G$8),MAX(Metadata!$G$8-L473,0,L473-Metadata!$H$8)/(Metadata!$H$8-Metadata!$G$8),"Missing input")</f>
        <v>0</v>
      </c>
    </row>
    <row r="474" spans="1:55" x14ac:dyDescent="0.2">
      <c r="A474" t="s">
        <v>563</v>
      </c>
      <c r="B474" t="s">
        <v>551</v>
      </c>
      <c r="C474" t="s">
        <v>466</v>
      </c>
      <c r="D474" t="s">
        <v>55</v>
      </c>
      <c r="E474" t="s">
        <v>467</v>
      </c>
      <c r="F474">
        <v>13</v>
      </c>
      <c r="G474">
        <v>49.119901382435643</v>
      </c>
      <c r="H474">
        <v>22.54933477691009</v>
      </c>
      <c r="I474">
        <v>2.13</v>
      </c>
      <c r="J474">
        <v>2.2000000000000002</v>
      </c>
      <c r="K474">
        <v>0.54</v>
      </c>
      <c r="L474">
        <v>0.25</v>
      </c>
      <c r="N474">
        <v>125</v>
      </c>
      <c r="O474">
        <v>14</v>
      </c>
      <c r="P474">
        <v>8</v>
      </c>
      <c r="Q474">
        <v>0.53616514621265798</v>
      </c>
      <c r="R474">
        <v>3276584.6264440492</v>
      </c>
      <c r="S474">
        <v>-5.5624989055720999E-3</v>
      </c>
      <c r="T474">
        <v>1693.734780651735</v>
      </c>
      <c r="U474">
        <v>786.94653369120795</v>
      </c>
      <c r="V474">
        <v>374.7200842149856</v>
      </c>
      <c r="W474">
        <v>2.1000916866780979</v>
      </c>
      <c r="X474" t="s">
        <v>57</v>
      </c>
      <c r="Y474">
        <v>8</v>
      </c>
      <c r="Z474">
        <v>973.22699999999998</v>
      </c>
      <c r="AA474">
        <v>95.091899999999995</v>
      </c>
      <c r="AB474">
        <v>44.910200000000003</v>
      </c>
      <c r="AC474">
        <v>17.42618416597853</v>
      </c>
      <c r="AD474">
        <v>44.99177941733106</v>
      </c>
      <c r="AE474">
        <v>44.99177941733106</v>
      </c>
      <c r="AF474" t="s">
        <v>58</v>
      </c>
      <c r="AG474" t="b">
        <v>1</v>
      </c>
      <c r="AH474">
        <v>2.581849186763983</v>
      </c>
      <c r="AI474">
        <v>961.28899999999999</v>
      </c>
      <c r="AJ474">
        <v>91.381599999999992</v>
      </c>
      <c r="AK474">
        <v>39.358900000000013</v>
      </c>
      <c r="AL474">
        <v>16.89446451967466</v>
      </c>
      <c r="AM474">
        <v>78.54503620292968</v>
      </c>
      <c r="AN474">
        <v>78.54503620292968</v>
      </c>
      <c r="AO474" t="s">
        <v>58</v>
      </c>
      <c r="AP474" t="b">
        <v>1</v>
      </c>
      <c r="AQ474">
        <v>4.6491580784616806</v>
      </c>
      <c r="AR474">
        <v>973.22699999999998</v>
      </c>
      <c r="AS474">
        <v>78.54503620292968</v>
      </c>
      <c r="AT474">
        <v>4.6491580784616806</v>
      </c>
      <c r="AU474" s="5">
        <v>58.67314204358847</v>
      </c>
      <c r="AV474" s="5">
        <v>83.807553628525966</v>
      </c>
      <c r="AW474" s="5">
        <v>3.4729210846108756</v>
      </c>
      <c r="AX474" s="5">
        <v>4.9606516697186134</v>
      </c>
      <c r="AY474" t="s">
        <v>59</v>
      </c>
      <c r="AZ474" t="s">
        <v>60</v>
      </c>
      <c r="BA474" s="23">
        <f t="shared" si="7"/>
        <v>0</v>
      </c>
      <c r="BB474" s="23">
        <f>IF(AND(ISNUMBER(H474),Metadata!$H$5&gt;Metadata!$G$5),MAX(Metadata!$G$5-H474,0,H474-Metadata!$H$5)/(Metadata!$H$5-Metadata!$G$5),"Missing input")</f>
        <v>0</v>
      </c>
      <c r="BC474" s="23">
        <f>IF(AND(ISNUMBER(L474),Metadata!$H$8&gt;Metadata!$G$8),MAX(Metadata!$G$8-L474,0,L474-Metadata!$H$8)/(Metadata!$H$8-Metadata!$G$8),"Missing input")</f>
        <v>0</v>
      </c>
    </row>
    <row r="475" spans="1:55" x14ac:dyDescent="0.2">
      <c r="A475" t="s">
        <v>564</v>
      </c>
      <c r="B475" t="s">
        <v>551</v>
      </c>
      <c r="C475" t="s">
        <v>466</v>
      </c>
      <c r="D475" t="s">
        <v>55</v>
      </c>
      <c r="E475" t="s">
        <v>467</v>
      </c>
      <c r="F475">
        <v>14</v>
      </c>
      <c r="G475">
        <v>37.958866376576751</v>
      </c>
      <c r="H475">
        <v>9.8264864335603903</v>
      </c>
      <c r="I475">
        <v>2.13</v>
      </c>
      <c r="J475">
        <v>2.2000000000000002</v>
      </c>
      <c r="K475">
        <v>0.54</v>
      </c>
      <c r="L475">
        <v>0.25</v>
      </c>
      <c r="N475">
        <v>125</v>
      </c>
      <c r="O475">
        <v>14</v>
      </c>
      <c r="P475">
        <v>8</v>
      </c>
      <c r="Q475">
        <v>0.53616514621265798</v>
      </c>
      <c r="R475">
        <v>1072728.181448289</v>
      </c>
      <c r="S475">
        <v>-3.446974170338824E-3</v>
      </c>
      <c r="T475">
        <v>892.4265973319674</v>
      </c>
      <c r="U475">
        <v>744.72430032575369</v>
      </c>
      <c r="V475">
        <v>197.4395126840636</v>
      </c>
      <c r="W475">
        <v>3.771911154974525</v>
      </c>
      <c r="X475" t="s">
        <v>57</v>
      </c>
      <c r="Y475">
        <v>8</v>
      </c>
      <c r="Z475">
        <v>637.69600000000003</v>
      </c>
      <c r="AA475">
        <v>95.163399999999996</v>
      </c>
      <c r="AB475">
        <v>65.006200000000007</v>
      </c>
      <c r="AC475">
        <v>17.168845163487742</v>
      </c>
      <c r="AE475">
        <v>95.163399999999996</v>
      </c>
      <c r="AF475" t="s">
        <v>62</v>
      </c>
      <c r="AG475" t="b">
        <v>0</v>
      </c>
      <c r="AH475">
        <v>5.5427956332427053</v>
      </c>
      <c r="AI475">
        <v>633.51800000000003</v>
      </c>
      <c r="AJ475">
        <v>91.310100000000006</v>
      </c>
      <c r="AK475">
        <v>64.811499999999995</v>
      </c>
      <c r="AL475">
        <v>16.65634967923015</v>
      </c>
      <c r="AN475">
        <v>91.310100000000006</v>
      </c>
      <c r="AO475" t="s">
        <v>62</v>
      </c>
      <c r="AP475" t="b">
        <v>0</v>
      </c>
      <c r="AQ475">
        <v>5.4819994631753133</v>
      </c>
      <c r="AR475">
        <v>637.69600000000003</v>
      </c>
      <c r="AS475">
        <v>95.163399999999996</v>
      </c>
      <c r="AT475">
        <v>5.5427956332427053</v>
      </c>
      <c r="AU475" s="5">
        <v>71.087059799999992</v>
      </c>
      <c r="AV475" s="5">
        <v>101.53934779999999</v>
      </c>
      <c r="AW475" s="5">
        <v>4.1404683380323011</v>
      </c>
      <c r="AX475" s="5">
        <v>5.9141629406699661</v>
      </c>
      <c r="AY475" t="s">
        <v>59</v>
      </c>
      <c r="AZ475" t="s">
        <v>60</v>
      </c>
      <c r="BA475" s="23">
        <f t="shared" si="7"/>
        <v>0</v>
      </c>
      <c r="BB475" s="23">
        <f>IF(AND(ISNUMBER(H475),Metadata!$H$5&gt;Metadata!$G$5),MAX(Metadata!$G$5-H475,0,H475-Metadata!$H$5)/(Metadata!$H$5-Metadata!$G$5),"Missing input")</f>
        <v>0</v>
      </c>
      <c r="BC475" s="23">
        <f>IF(AND(ISNUMBER(L475),Metadata!$H$8&gt;Metadata!$G$8),MAX(Metadata!$G$8-L475,0,L475-Metadata!$H$8)/(Metadata!$H$8-Metadata!$G$8),"Missing input")</f>
        <v>0</v>
      </c>
    </row>
    <row r="476" spans="1:55" x14ac:dyDescent="0.2">
      <c r="A476" t="s">
        <v>565</v>
      </c>
      <c r="B476" t="s">
        <v>551</v>
      </c>
      <c r="C476" t="s">
        <v>466</v>
      </c>
      <c r="D476" t="s">
        <v>55</v>
      </c>
      <c r="E476" t="s">
        <v>467</v>
      </c>
      <c r="F476">
        <v>15</v>
      </c>
      <c r="G476">
        <v>27.308053040943211</v>
      </c>
      <c r="H476">
        <v>5.2772178758296739</v>
      </c>
      <c r="I476">
        <v>2.13</v>
      </c>
      <c r="J476">
        <v>2.2000000000000002</v>
      </c>
      <c r="K476">
        <v>0.54</v>
      </c>
      <c r="L476">
        <v>0.25</v>
      </c>
      <c r="N476">
        <v>125</v>
      </c>
      <c r="O476">
        <v>14</v>
      </c>
      <c r="P476">
        <v>8</v>
      </c>
      <c r="Q476">
        <v>0.53616514621265798</v>
      </c>
      <c r="R476">
        <v>386052.96198531118</v>
      </c>
      <c r="S476">
        <v>-2.7084637679610358E-3</v>
      </c>
      <c r="T476">
        <v>704.63289665426112</v>
      </c>
      <c r="U476">
        <v>698.12364149884274</v>
      </c>
      <c r="V476">
        <v>155.89223377306661</v>
      </c>
      <c r="W476">
        <v>4.4782451607891254</v>
      </c>
      <c r="X476" t="s">
        <v>57</v>
      </c>
      <c r="Y476">
        <v>8</v>
      </c>
      <c r="Z476">
        <v>500.96100000000001</v>
      </c>
      <c r="AA476">
        <v>95.021900000000002</v>
      </c>
      <c r="AB476">
        <v>51.296399999999998</v>
      </c>
      <c r="AC476">
        <v>17.963962024714832</v>
      </c>
      <c r="AD476">
        <v>65.064486201658056</v>
      </c>
      <c r="AE476">
        <v>65.064486201658056</v>
      </c>
      <c r="AF476" t="s">
        <v>58</v>
      </c>
      <c r="AG476" t="b">
        <v>1</v>
      </c>
      <c r="AH476">
        <v>3.6219452096448599</v>
      </c>
      <c r="AI476">
        <v>494.63400000000001</v>
      </c>
      <c r="AJ476">
        <v>90.846199999999996</v>
      </c>
      <c r="AK476">
        <v>39.358900000000013</v>
      </c>
      <c r="AL476">
        <v>17.267011313868611</v>
      </c>
      <c r="AN476">
        <v>90.846199999999996</v>
      </c>
      <c r="AO476" t="s">
        <v>62</v>
      </c>
      <c r="AP476" t="b">
        <v>0</v>
      </c>
      <c r="AQ476">
        <v>5.2612579182729586</v>
      </c>
      <c r="AR476">
        <v>500.96100000000001</v>
      </c>
      <c r="AS476">
        <v>90.846199999999996</v>
      </c>
      <c r="AT476">
        <v>5.2612579182729586</v>
      </c>
      <c r="AU476" s="5">
        <v>67.862111400000003</v>
      </c>
      <c r="AV476" s="5">
        <v>96.932895399999992</v>
      </c>
      <c r="AW476" s="5">
        <v>3.9301596649499002</v>
      </c>
      <c r="AX476" s="5">
        <v>5.6137621987972466</v>
      </c>
      <c r="AY476" t="s">
        <v>59</v>
      </c>
      <c r="AZ476" t="s">
        <v>60</v>
      </c>
      <c r="BA476" s="23">
        <f t="shared" si="7"/>
        <v>0</v>
      </c>
      <c r="BB476" s="23">
        <f>IF(AND(ISNUMBER(H476),Metadata!$H$5&gt;Metadata!$G$5),MAX(Metadata!$G$5-H476,0,H476-Metadata!$H$5)/(Metadata!$H$5-Metadata!$G$5),"Missing input")</f>
        <v>0</v>
      </c>
      <c r="BC476" s="23">
        <f>IF(AND(ISNUMBER(L476),Metadata!$H$8&gt;Metadata!$G$8),MAX(Metadata!$G$8-L476,0,L476-Metadata!$H$8)/(Metadata!$H$8-Metadata!$G$8),"Missing input")</f>
        <v>0</v>
      </c>
    </row>
    <row r="477" spans="1:55" x14ac:dyDescent="0.2">
      <c r="A477" t="s">
        <v>566</v>
      </c>
      <c r="B477" t="s">
        <v>551</v>
      </c>
      <c r="C477" t="s">
        <v>466</v>
      </c>
      <c r="D477" t="s">
        <v>55</v>
      </c>
      <c r="E477" t="s">
        <v>467</v>
      </c>
      <c r="F477">
        <v>16</v>
      </c>
      <c r="G477">
        <v>31.1252119640606</v>
      </c>
      <c r="H477">
        <v>39.5069074866867</v>
      </c>
      <c r="I477">
        <v>2.13</v>
      </c>
      <c r="J477">
        <v>2.2000000000000002</v>
      </c>
      <c r="K477">
        <v>0.54</v>
      </c>
      <c r="L477">
        <v>0.25</v>
      </c>
      <c r="N477">
        <v>125</v>
      </c>
      <c r="O477">
        <v>14</v>
      </c>
      <c r="P477">
        <v>8</v>
      </c>
      <c r="Q477">
        <v>0.53616514621265798</v>
      </c>
      <c r="R477">
        <v>3642703.933702969</v>
      </c>
      <c r="S477">
        <v>-6.8622721306404793E-3</v>
      </c>
      <c r="T477">
        <v>1933.6322685198629</v>
      </c>
      <c r="U477">
        <v>715.72465594585606</v>
      </c>
      <c r="V477">
        <v>427.79474967253623</v>
      </c>
      <c r="W477">
        <v>1.673056194573967</v>
      </c>
      <c r="X477" t="s">
        <v>57</v>
      </c>
      <c r="Y477">
        <v>8</v>
      </c>
      <c r="Z477">
        <v>848.02499999999998</v>
      </c>
      <c r="AA477">
        <v>95.163399999999996</v>
      </c>
      <c r="AB477">
        <v>37.809100000000001</v>
      </c>
      <c r="AC477">
        <v>17.507156082743769</v>
      </c>
      <c r="AD477">
        <v>42.582251612903221</v>
      </c>
      <c r="AE477">
        <v>42.582251612903221</v>
      </c>
      <c r="AF477" t="s">
        <v>58</v>
      </c>
      <c r="AG477" t="b">
        <v>1</v>
      </c>
      <c r="AH477">
        <v>2.432276916459045</v>
      </c>
      <c r="AI477">
        <v>841.2</v>
      </c>
      <c r="AJ477">
        <v>91.310100000000006</v>
      </c>
      <c r="AK477">
        <v>37.0047</v>
      </c>
      <c r="AL477">
        <v>16.824107188894409</v>
      </c>
      <c r="AM477">
        <v>40.67908864718958</v>
      </c>
      <c r="AN477">
        <v>40.67908864718958</v>
      </c>
      <c r="AO477" t="s">
        <v>58</v>
      </c>
      <c r="AP477" t="b">
        <v>1</v>
      </c>
      <c r="AQ477">
        <v>2.4179047476612521</v>
      </c>
      <c r="AR477">
        <v>848.02499999999998</v>
      </c>
      <c r="AS477">
        <v>42.582251612903221</v>
      </c>
      <c r="AT477">
        <v>2.432276916459045</v>
      </c>
      <c r="AU477" s="5">
        <v>31.808941954838705</v>
      </c>
      <c r="AV477" s="5">
        <v>45.435262470967736</v>
      </c>
      <c r="AW477" s="5">
        <v>1.8169108565949066</v>
      </c>
      <c r="AX477" s="5">
        <v>2.5952394698618009</v>
      </c>
      <c r="AY477" t="s">
        <v>59</v>
      </c>
      <c r="AZ477" t="s">
        <v>60</v>
      </c>
      <c r="BA477" s="23">
        <f t="shared" si="7"/>
        <v>0</v>
      </c>
      <c r="BB477" s="23">
        <f>IF(AND(ISNUMBER(H477),Metadata!$H$5&gt;Metadata!$G$5),MAX(Metadata!$G$5-H477,0,H477-Metadata!$H$5)/(Metadata!$H$5-Metadata!$G$5),"Missing input")</f>
        <v>0</v>
      </c>
      <c r="BC477" s="23">
        <f>IF(AND(ISNUMBER(L477),Metadata!$H$8&gt;Metadata!$G$8),MAX(Metadata!$G$8-L477,0,L477-Metadata!$H$8)/(Metadata!$H$8-Metadata!$G$8),"Missing input")</f>
        <v>0</v>
      </c>
    </row>
    <row r="478" spans="1:55" x14ac:dyDescent="0.2">
      <c r="A478" t="s">
        <v>567</v>
      </c>
      <c r="B478" t="s">
        <v>551</v>
      </c>
      <c r="C478" t="s">
        <v>466</v>
      </c>
      <c r="D478" t="s">
        <v>55</v>
      </c>
      <c r="E478" t="s">
        <v>467</v>
      </c>
      <c r="F478">
        <v>17</v>
      </c>
      <c r="G478">
        <v>46.390186033042063</v>
      </c>
      <c r="H478">
        <v>16.21387510983789</v>
      </c>
      <c r="I478">
        <v>2.13</v>
      </c>
      <c r="J478">
        <v>2.2000000000000002</v>
      </c>
      <c r="K478">
        <v>0.54</v>
      </c>
      <c r="L478">
        <v>0.25</v>
      </c>
      <c r="N478">
        <v>125</v>
      </c>
      <c r="O478">
        <v>14</v>
      </c>
      <c r="P478">
        <v>8</v>
      </c>
      <c r="Q478">
        <v>0.53616514621265798</v>
      </c>
      <c r="R478">
        <v>2210215.3729856689</v>
      </c>
      <c r="S478">
        <v>-4.5574759599626433E-3</v>
      </c>
      <c r="T478">
        <v>1274.6588697632251</v>
      </c>
      <c r="U478">
        <v>777.10568399344538</v>
      </c>
      <c r="V478">
        <v>282.00417472637719</v>
      </c>
      <c r="W478">
        <v>2.7556531201974401</v>
      </c>
      <c r="X478" t="s">
        <v>57</v>
      </c>
      <c r="Y478">
        <v>8</v>
      </c>
      <c r="Z478">
        <v>833.11</v>
      </c>
      <c r="AA478">
        <v>95.163399999999996</v>
      </c>
      <c r="AB478">
        <v>51.296399999999998</v>
      </c>
      <c r="AC478">
        <v>17.175575300120052</v>
      </c>
      <c r="AE478">
        <v>95.163399999999996</v>
      </c>
      <c r="AF478" t="s">
        <v>62</v>
      </c>
      <c r="AG478" t="b">
        <v>0</v>
      </c>
      <c r="AH478">
        <v>5.5406237250949522</v>
      </c>
      <c r="AI478">
        <v>828.28099999999995</v>
      </c>
      <c r="AJ478">
        <v>91.310100000000006</v>
      </c>
      <c r="AK478">
        <v>60.942799999999998</v>
      </c>
      <c r="AL478">
        <v>16.766652437722421</v>
      </c>
      <c r="AN478">
        <v>91.310100000000006</v>
      </c>
      <c r="AO478" t="s">
        <v>62</v>
      </c>
      <c r="AP478" t="b">
        <v>0</v>
      </c>
      <c r="AQ478">
        <v>5.4459350391594077</v>
      </c>
      <c r="AR478">
        <v>833.11</v>
      </c>
      <c r="AS478">
        <v>95.163399999999996</v>
      </c>
      <c r="AT478">
        <v>5.5406237250949522</v>
      </c>
      <c r="AU478" s="5">
        <v>71.087059799999992</v>
      </c>
      <c r="AV478" s="5">
        <v>101.53934779999999</v>
      </c>
      <c r="AW478" s="5">
        <v>4.1388459226459293</v>
      </c>
      <c r="AX478" s="5">
        <v>5.9118455146763136</v>
      </c>
      <c r="AY478" t="s">
        <v>59</v>
      </c>
      <c r="AZ478" t="s">
        <v>60</v>
      </c>
      <c r="BA478" s="23">
        <f t="shared" si="7"/>
        <v>0</v>
      </c>
      <c r="BB478" s="23">
        <f>IF(AND(ISNUMBER(H478),Metadata!$H$5&gt;Metadata!$G$5),MAX(Metadata!$G$5-H478,0,H478-Metadata!$H$5)/(Metadata!$H$5-Metadata!$G$5),"Missing input")</f>
        <v>0</v>
      </c>
      <c r="BC478" s="23">
        <f>IF(AND(ISNUMBER(L478),Metadata!$H$8&gt;Metadata!$G$8),MAX(Metadata!$G$8-L478,0,L478-Metadata!$H$8)/(Metadata!$H$8-Metadata!$G$8),"Missing input")</f>
        <v>0</v>
      </c>
    </row>
    <row r="479" spans="1:55" x14ac:dyDescent="0.2">
      <c r="A479" t="s">
        <v>568</v>
      </c>
      <c r="B479" t="s">
        <v>551</v>
      </c>
      <c r="C479" t="s">
        <v>466</v>
      </c>
      <c r="D479" t="s">
        <v>55</v>
      </c>
      <c r="E479" t="s">
        <v>467</v>
      </c>
      <c r="F479">
        <v>18</v>
      </c>
      <c r="G479">
        <v>54.165408264435399</v>
      </c>
      <c r="H479">
        <v>18.25275816413232</v>
      </c>
      <c r="I479">
        <v>2.13</v>
      </c>
      <c r="J479">
        <v>2.2000000000000002</v>
      </c>
      <c r="K479">
        <v>0.54</v>
      </c>
      <c r="L479">
        <v>0.25</v>
      </c>
      <c r="N479">
        <v>125</v>
      </c>
      <c r="O479">
        <v>14</v>
      </c>
      <c r="P479">
        <v>8</v>
      </c>
      <c r="Q479">
        <v>0.53616514621265798</v>
      </c>
      <c r="R479">
        <v>2919725.6187367002</v>
      </c>
      <c r="S479">
        <v>-4.9009303606879859E-3</v>
      </c>
      <c r="T479">
        <v>1532.50035556126</v>
      </c>
      <c r="U479">
        <v>804.44140245145684</v>
      </c>
      <c r="V479">
        <v>339.04875123036709</v>
      </c>
      <c r="W479">
        <v>2.372642280888031</v>
      </c>
      <c r="X479" t="s">
        <v>57</v>
      </c>
      <c r="Y479">
        <v>8</v>
      </c>
      <c r="Z479">
        <v>955.84299999999996</v>
      </c>
      <c r="AA479">
        <v>95.163399999999996</v>
      </c>
      <c r="AB479">
        <v>51.296399999999998</v>
      </c>
      <c r="AC479">
        <v>17.118729457682829</v>
      </c>
      <c r="AD479">
        <v>82.683971223776226</v>
      </c>
      <c r="AE479">
        <v>82.683971223776226</v>
      </c>
      <c r="AF479" t="s">
        <v>58</v>
      </c>
      <c r="AG479" t="b">
        <v>1</v>
      </c>
      <c r="AH479">
        <v>4.8300296717796387</v>
      </c>
      <c r="AI479">
        <v>949.71199999999999</v>
      </c>
      <c r="AJ479">
        <v>91.310100000000006</v>
      </c>
      <c r="AK479">
        <v>58.363599999999998</v>
      </c>
      <c r="AL479">
        <v>16.76883916159861</v>
      </c>
      <c r="AM479">
        <v>82.302878190262831</v>
      </c>
      <c r="AN479">
        <v>82.302878190262831</v>
      </c>
      <c r="AO479" t="s">
        <v>58</v>
      </c>
      <c r="AP479" t="b">
        <v>1</v>
      </c>
      <c r="AQ479">
        <v>4.9080844175988103</v>
      </c>
      <c r="AR479">
        <v>955.84299999999996</v>
      </c>
      <c r="AS479">
        <v>82.683971223776226</v>
      </c>
      <c r="AT479">
        <v>4.9080844175988103</v>
      </c>
      <c r="AU479" s="5">
        <v>61.76492650416084</v>
      </c>
      <c r="AV479" s="5">
        <v>88.223797295769231</v>
      </c>
      <c r="AW479" s="5">
        <v>3.6663390599463113</v>
      </c>
      <c r="AX479" s="5">
        <v>5.2369260735779299</v>
      </c>
      <c r="AY479" t="s">
        <v>59</v>
      </c>
      <c r="AZ479" t="s">
        <v>60</v>
      </c>
      <c r="BA479" s="23">
        <f t="shared" si="7"/>
        <v>0</v>
      </c>
      <c r="BB479" s="23">
        <f>IF(AND(ISNUMBER(H479),Metadata!$H$5&gt;Metadata!$G$5),MAX(Metadata!$G$5-H479,0,H479-Metadata!$H$5)/(Metadata!$H$5-Metadata!$G$5),"Missing input")</f>
        <v>0</v>
      </c>
      <c r="BC479" s="23">
        <f>IF(AND(ISNUMBER(L479),Metadata!$H$8&gt;Metadata!$G$8),MAX(Metadata!$G$8-L479,0,L479-Metadata!$H$8)/(Metadata!$H$8-Metadata!$G$8),"Missing input")</f>
        <v>0</v>
      </c>
    </row>
    <row r="480" spans="1:55" x14ac:dyDescent="0.2">
      <c r="A480" t="s">
        <v>569</v>
      </c>
      <c r="B480" t="s">
        <v>551</v>
      </c>
      <c r="C480" t="s">
        <v>466</v>
      </c>
      <c r="D480" t="s">
        <v>55</v>
      </c>
      <c r="E480" t="s">
        <v>467</v>
      </c>
      <c r="F480">
        <v>19</v>
      </c>
      <c r="G480">
        <v>21.707483118551171</v>
      </c>
      <c r="H480">
        <v>43.497365085878002</v>
      </c>
      <c r="I480">
        <v>2.13</v>
      </c>
      <c r="J480">
        <v>2.2000000000000002</v>
      </c>
      <c r="K480">
        <v>0.54</v>
      </c>
      <c r="L480">
        <v>0.25</v>
      </c>
      <c r="N480">
        <v>125</v>
      </c>
      <c r="O480">
        <v>14</v>
      </c>
      <c r="P480">
        <v>8</v>
      </c>
      <c r="Q480">
        <v>0.53616514621265798</v>
      </c>
      <c r="R480">
        <v>2786376.2799094608</v>
      </c>
      <c r="S480">
        <v>-6.8731810801568906E-3</v>
      </c>
      <c r="T480">
        <v>1603.2351042022019</v>
      </c>
      <c r="U480">
        <v>669.89609780516332</v>
      </c>
      <c r="V480">
        <v>354.69803190314201</v>
      </c>
      <c r="W480">
        <v>1.8886377638207279</v>
      </c>
      <c r="X480" t="s">
        <v>57</v>
      </c>
      <c r="Y480">
        <v>8</v>
      </c>
      <c r="Z480">
        <v>702.42100000000005</v>
      </c>
      <c r="AA480">
        <v>95.163399999999996</v>
      </c>
      <c r="AB480">
        <v>36.297999999999988</v>
      </c>
      <c r="AC480">
        <v>17.814794050610189</v>
      </c>
      <c r="AD480">
        <v>41.172495353715682</v>
      </c>
      <c r="AE480">
        <v>41.172495353715682</v>
      </c>
      <c r="AF480" t="s">
        <v>58</v>
      </c>
      <c r="AG480" t="b">
        <v>1</v>
      </c>
      <c r="AH480">
        <v>2.3111406865972408</v>
      </c>
      <c r="AI480">
        <v>692.17200000000003</v>
      </c>
      <c r="AJ480">
        <v>91.310100000000006</v>
      </c>
      <c r="AK480">
        <v>35.435099999999998</v>
      </c>
      <c r="AL480">
        <v>16.95930092165899</v>
      </c>
      <c r="AM480">
        <v>39.964752945944618</v>
      </c>
      <c r="AN480">
        <v>39.964752945944618</v>
      </c>
      <c r="AO480" t="s">
        <v>58</v>
      </c>
      <c r="AP480" t="b">
        <v>1</v>
      </c>
      <c r="AQ480">
        <v>2.3565094534589579</v>
      </c>
      <c r="AR480">
        <v>702.42100000000005</v>
      </c>
      <c r="AS480">
        <v>41.172495353715682</v>
      </c>
      <c r="AT480">
        <v>2.3565094534589579</v>
      </c>
      <c r="AU480" s="5">
        <v>30.755854029225613</v>
      </c>
      <c r="AV480" s="5">
        <v>43.931052542414633</v>
      </c>
      <c r="AW480" s="5">
        <v>1.7603125617338415</v>
      </c>
      <c r="AX480" s="5">
        <v>2.514395586840708</v>
      </c>
      <c r="AY480" t="s">
        <v>64</v>
      </c>
      <c r="AZ480" t="s">
        <v>7</v>
      </c>
      <c r="BA480" s="23">
        <f t="shared" si="7"/>
        <v>9.4596678167087334E-2</v>
      </c>
      <c r="BB480" s="23">
        <f>IF(AND(ISNUMBER(H480),Metadata!$H$5&gt;Metadata!$G$5),MAX(Metadata!$G$5-H480,0,H480-Metadata!$H$5)/(Metadata!$H$5-Metadata!$G$5),"Missing input")</f>
        <v>9.4596678167087334E-2</v>
      </c>
      <c r="BC480" s="23">
        <f>IF(AND(ISNUMBER(L480),Metadata!$H$8&gt;Metadata!$G$8),MAX(Metadata!$G$8-L480,0,L480-Metadata!$H$8)/(Metadata!$H$8-Metadata!$G$8),"Missing input")</f>
        <v>0</v>
      </c>
    </row>
    <row r="481" spans="1:55" x14ac:dyDescent="0.2">
      <c r="A481" t="s">
        <v>570</v>
      </c>
      <c r="B481" t="s">
        <v>551</v>
      </c>
      <c r="C481" t="s">
        <v>466</v>
      </c>
      <c r="D481" t="s">
        <v>55</v>
      </c>
      <c r="E481" t="s">
        <v>467</v>
      </c>
      <c r="F481">
        <v>20</v>
      </c>
      <c r="G481">
        <v>53.035991243371583</v>
      </c>
      <c r="H481">
        <v>30.34654288470276</v>
      </c>
      <c r="I481">
        <v>2.13</v>
      </c>
      <c r="J481">
        <v>2.2000000000000002</v>
      </c>
      <c r="K481">
        <v>0.54</v>
      </c>
      <c r="L481">
        <v>0.25</v>
      </c>
      <c r="N481">
        <v>125</v>
      </c>
      <c r="O481">
        <v>14</v>
      </c>
      <c r="P481">
        <v>8</v>
      </c>
      <c r="Q481">
        <v>0.53616514621265798</v>
      </c>
      <c r="R481">
        <v>4782098.2730990862</v>
      </c>
      <c r="S481">
        <v>-6.4357546843617358E-3</v>
      </c>
      <c r="T481">
        <v>2342.1257451834581</v>
      </c>
      <c r="U481">
        <v>800.59853302729891</v>
      </c>
      <c r="V481">
        <v>518.16941265120761</v>
      </c>
      <c r="W481">
        <v>1.545051702166375</v>
      </c>
      <c r="X481" t="s">
        <v>57</v>
      </c>
      <c r="Y481">
        <v>8</v>
      </c>
      <c r="Z481">
        <v>1133.8900000000001</v>
      </c>
      <c r="AA481">
        <v>95.163399999999996</v>
      </c>
      <c r="AB481">
        <v>44.3125</v>
      </c>
      <c r="AC481">
        <v>17.69835901204819</v>
      </c>
      <c r="AD481">
        <v>50.939666165260533</v>
      </c>
      <c r="AE481">
        <v>50.939666165260533</v>
      </c>
      <c r="AF481" t="s">
        <v>58</v>
      </c>
      <c r="AG481" t="b">
        <v>1</v>
      </c>
      <c r="AH481">
        <v>2.8782140836098562</v>
      </c>
      <c r="AI481">
        <v>1126.93</v>
      </c>
      <c r="AJ481">
        <v>91.310100000000006</v>
      </c>
      <c r="AK481">
        <v>43.513199999999998</v>
      </c>
      <c r="AL481">
        <v>17.20906943071753</v>
      </c>
      <c r="AM481">
        <v>50.687619117037833</v>
      </c>
      <c r="AN481">
        <v>50.687619117037833</v>
      </c>
      <c r="AO481" t="s">
        <v>58</v>
      </c>
      <c r="AP481" t="b">
        <v>1</v>
      </c>
      <c r="AQ481">
        <v>2.9454015117495178</v>
      </c>
      <c r="AR481">
        <v>1133.8900000000001</v>
      </c>
      <c r="AS481">
        <v>50.939666165260533</v>
      </c>
      <c r="AT481">
        <v>2.9454015117495178</v>
      </c>
      <c r="AU481" s="5">
        <v>38.051930625449621</v>
      </c>
      <c r="AV481" s="5">
        <v>54.352623798332985</v>
      </c>
      <c r="AW481" s="5">
        <v>2.20021492927689</v>
      </c>
      <c r="AX481" s="5">
        <v>3.1427434130367353</v>
      </c>
      <c r="AY481" t="s">
        <v>59</v>
      </c>
      <c r="AZ481" t="s">
        <v>60</v>
      </c>
      <c r="BA481" s="23">
        <f t="shared" si="7"/>
        <v>0</v>
      </c>
      <c r="BB481" s="23">
        <f>IF(AND(ISNUMBER(H481),Metadata!$H$5&gt;Metadata!$G$5),MAX(Metadata!$G$5-H481,0,H481-Metadata!$H$5)/(Metadata!$H$5-Metadata!$G$5),"Missing input")</f>
        <v>0</v>
      </c>
      <c r="BC481" s="23">
        <f>IF(AND(ISNUMBER(L481),Metadata!$H$8&gt;Metadata!$G$8),MAX(Metadata!$G$8-L481,0,L481-Metadata!$H$8)/(Metadata!$H$8-Metadata!$G$8),"Missing input")</f>
        <v>0</v>
      </c>
    </row>
    <row r="482" spans="1:55" x14ac:dyDescent="0.2">
      <c r="A482" t="s">
        <v>571</v>
      </c>
      <c r="B482" t="s">
        <v>572</v>
      </c>
      <c r="C482" t="s">
        <v>466</v>
      </c>
      <c r="D482" t="s">
        <v>55</v>
      </c>
      <c r="E482" t="s">
        <v>467</v>
      </c>
      <c r="F482">
        <v>1</v>
      </c>
      <c r="G482">
        <v>22.11413992487228</v>
      </c>
      <c r="H482">
        <v>28.832065765515338</v>
      </c>
      <c r="I482">
        <v>1.17</v>
      </c>
      <c r="J482">
        <v>0.8</v>
      </c>
      <c r="K482">
        <v>0.54</v>
      </c>
      <c r="L482">
        <v>0.25</v>
      </c>
      <c r="N482">
        <v>125</v>
      </c>
      <c r="O482">
        <v>12</v>
      </c>
      <c r="P482">
        <v>6</v>
      </c>
      <c r="Q482">
        <v>0.53616514621265798</v>
      </c>
      <c r="R482">
        <v>1866510.334985178</v>
      </c>
      <c r="S482">
        <v>-5.257015060687085E-3</v>
      </c>
      <c r="T482">
        <v>931.93139645531812</v>
      </c>
      <c r="U482">
        <v>672.06023102885479</v>
      </c>
      <c r="V482">
        <v>206.1795124901146</v>
      </c>
      <c r="W482">
        <v>3.2595878364057969</v>
      </c>
      <c r="X482" t="s">
        <v>57</v>
      </c>
      <c r="Y482">
        <v>8</v>
      </c>
      <c r="Z482">
        <v>529.05899999999997</v>
      </c>
      <c r="AA482">
        <v>95.163399999999996</v>
      </c>
      <c r="AB482">
        <v>37.557300000000012</v>
      </c>
      <c r="AC482">
        <v>15.597157888290051</v>
      </c>
      <c r="AD482">
        <v>44.032352124414551</v>
      </c>
      <c r="AE482">
        <v>44.032352124414551</v>
      </c>
      <c r="AF482" t="s">
        <v>58</v>
      </c>
      <c r="AG482" t="b">
        <v>1</v>
      </c>
      <c r="AH482">
        <v>2.8231010059514059</v>
      </c>
      <c r="AI482">
        <v>525.19299999999998</v>
      </c>
      <c r="AJ482">
        <v>91.310100000000006</v>
      </c>
      <c r="AK482">
        <v>37.0047</v>
      </c>
      <c r="AL482">
        <v>15.05345636147443</v>
      </c>
      <c r="AM482">
        <v>42.7968764337975</v>
      </c>
      <c r="AN482">
        <v>42.7968764337975</v>
      </c>
      <c r="AO482" t="s">
        <v>58</v>
      </c>
      <c r="AP482" t="b">
        <v>1</v>
      </c>
      <c r="AQ482">
        <v>2.8429933568828369</v>
      </c>
      <c r="AR482">
        <v>529.05899999999997</v>
      </c>
      <c r="AS482">
        <v>44.032352124414551</v>
      </c>
      <c r="AT482">
        <v>2.8429933568828369</v>
      </c>
      <c r="AU482" s="5">
        <v>32.892167036937671</v>
      </c>
      <c r="AV482" s="5">
        <v>46.982519716750325</v>
      </c>
      <c r="AW482" s="5">
        <v>2.1237160375914792</v>
      </c>
      <c r="AX482" s="5">
        <v>3.0334739117939868</v>
      </c>
      <c r="AY482" t="s">
        <v>59</v>
      </c>
      <c r="AZ482" t="s">
        <v>60</v>
      </c>
      <c r="BA482" s="23">
        <f t="shared" si="7"/>
        <v>0</v>
      </c>
      <c r="BB482" s="23">
        <f>IF(AND(ISNUMBER(H482),Metadata!$H$5&gt;Metadata!$G$5),MAX(Metadata!$G$5-H482,0,H482-Metadata!$H$5)/(Metadata!$H$5-Metadata!$G$5),"Missing input")</f>
        <v>0</v>
      </c>
      <c r="BC482" s="23">
        <f>IF(AND(ISNUMBER(L482),Metadata!$H$8&gt;Metadata!$G$8),MAX(Metadata!$G$8-L482,0,L482-Metadata!$H$8)/(Metadata!$H$8-Metadata!$G$8),"Missing input")</f>
        <v>0</v>
      </c>
    </row>
    <row r="483" spans="1:55" x14ac:dyDescent="0.2">
      <c r="A483" t="s">
        <v>573</v>
      </c>
      <c r="B483" t="s">
        <v>572</v>
      </c>
      <c r="C483" t="s">
        <v>466</v>
      </c>
      <c r="D483" t="s">
        <v>55</v>
      </c>
      <c r="E483" t="s">
        <v>467</v>
      </c>
      <c r="F483">
        <v>2</v>
      </c>
      <c r="G483">
        <v>39.289372610104301</v>
      </c>
      <c r="H483">
        <v>11.43599740060767</v>
      </c>
      <c r="I483">
        <v>1.17</v>
      </c>
      <c r="J483">
        <v>0.8</v>
      </c>
      <c r="K483">
        <v>0.54</v>
      </c>
      <c r="L483">
        <v>0.25</v>
      </c>
      <c r="N483">
        <v>125</v>
      </c>
      <c r="O483">
        <v>12</v>
      </c>
      <c r="P483">
        <v>6</v>
      </c>
      <c r="Q483">
        <v>0.53616514621265798</v>
      </c>
      <c r="R483">
        <v>1301660.814121977</v>
      </c>
      <c r="S483">
        <v>-3.2987620715852961E-3</v>
      </c>
      <c r="T483">
        <v>682.24591859950192</v>
      </c>
      <c r="U483">
        <v>750.05745558684532</v>
      </c>
      <c r="V483">
        <v>150.93936252201371</v>
      </c>
      <c r="W483">
        <v>4.9692634383390439</v>
      </c>
      <c r="X483" t="s">
        <v>57</v>
      </c>
      <c r="Y483">
        <v>8</v>
      </c>
      <c r="Z483">
        <v>548.30600000000004</v>
      </c>
      <c r="AA483">
        <v>95.163399999999996</v>
      </c>
      <c r="AB483">
        <v>51.296399999999998</v>
      </c>
      <c r="AC483">
        <v>15.1281243067591</v>
      </c>
      <c r="AE483">
        <v>95.163399999999996</v>
      </c>
      <c r="AF483" t="s">
        <v>62</v>
      </c>
      <c r="AG483" t="b">
        <v>0</v>
      </c>
      <c r="AH483">
        <v>6.290495640459663</v>
      </c>
      <c r="AI483">
        <v>543.87699999999995</v>
      </c>
      <c r="AJ483">
        <v>91.310100000000006</v>
      </c>
      <c r="AK483">
        <v>51.757599999999996</v>
      </c>
      <c r="AL483">
        <v>14.61174689843217</v>
      </c>
      <c r="AN483">
        <v>91.310100000000006</v>
      </c>
      <c r="AO483" t="s">
        <v>62</v>
      </c>
      <c r="AP483" t="b">
        <v>0</v>
      </c>
      <c r="AQ483">
        <v>6.2490885336781661</v>
      </c>
      <c r="AR483">
        <v>548.30600000000004</v>
      </c>
      <c r="AS483">
        <v>95.163399999999996</v>
      </c>
      <c r="AT483">
        <v>6.290495640459663</v>
      </c>
      <c r="AU483" s="5">
        <v>71.087059799999992</v>
      </c>
      <c r="AV483" s="5">
        <v>101.53934779999999</v>
      </c>
      <c r="AW483" s="5">
        <v>4.6990002434233684</v>
      </c>
      <c r="AX483" s="5">
        <v>6.7119588483704602</v>
      </c>
      <c r="AY483" t="s">
        <v>59</v>
      </c>
      <c r="AZ483" t="s">
        <v>60</v>
      </c>
      <c r="BA483" s="23">
        <f t="shared" si="7"/>
        <v>0</v>
      </c>
      <c r="BB483" s="23">
        <f>IF(AND(ISNUMBER(H483),Metadata!$H$5&gt;Metadata!$G$5),MAX(Metadata!$G$5-H483,0,H483-Metadata!$H$5)/(Metadata!$H$5-Metadata!$G$5),"Missing input")</f>
        <v>0</v>
      </c>
      <c r="BC483" s="23">
        <f>IF(AND(ISNUMBER(L483),Metadata!$H$8&gt;Metadata!$G$8),MAX(Metadata!$G$8-L483,0,L483-Metadata!$H$8)/(Metadata!$H$8-Metadata!$G$8),"Missing input")</f>
        <v>0</v>
      </c>
    </row>
    <row r="484" spans="1:55" x14ac:dyDescent="0.2">
      <c r="A484" t="s">
        <v>574</v>
      </c>
      <c r="B484" t="s">
        <v>572</v>
      </c>
      <c r="C484" t="s">
        <v>466</v>
      </c>
      <c r="D484" t="s">
        <v>55</v>
      </c>
      <c r="E484" t="s">
        <v>467</v>
      </c>
      <c r="F484">
        <v>3</v>
      </c>
      <c r="G484">
        <v>50.720967279676117</v>
      </c>
      <c r="H484">
        <v>41.572102032205443</v>
      </c>
      <c r="I484">
        <v>1.17</v>
      </c>
      <c r="J484">
        <v>0.8</v>
      </c>
      <c r="K484">
        <v>0.54</v>
      </c>
      <c r="L484">
        <v>0.25</v>
      </c>
      <c r="N484">
        <v>125</v>
      </c>
      <c r="O484">
        <v>12</v>
      </c>
      <c r="P484">
        <v>6</v>
      </c>
      <c r="Q484">
        <v>0.53616514621265798</v>
      </c>
      <c r="R484">
        <v>6279453.0057685468</v>
      </c>
      <c r="S484">
        <v>-5.5786534011117448E-3</v>
      </c>
      <c r="T484">
        <v>2795.5189136654449</v>
      </c>
      <c r="U484">
        <v>792.59154081609961</v>
      </c>
      <c r="V484">
        <v>618.47763576669149</v>
      </c>
      <c r="W484">
        <v>1.2815201310126101</v>
      </c>
      <c r="X484" t="s">
        <v>57</v>
      </c>
      <c r="Y484">
        <v>8</v>
      </c>
      <c r="Z484">
        <v>1002.4</v>
      </c>
      <c r="AA484">
        <v>95.163399999999996</v>
      </c>
      <c r="AB484">
        <v>28.994299999999999</v>
      </c>
      <c r="AC484">
        <v>13.7833669829222</v>
      </c>
      <c r="AD484">
        <v>30.618575880142039</v>
      </c>
      <c r="AE484">
        <v>30.618575880142039</v>
      </c>
      <c r="AF484" t="s">
        <v>58</v>
      </c>
      <c r="AG484" t="b">
        <v>1</v>
      </c>
      <c r="AH484">
        <v>2.2214148341315232</v>
      </c>
      <c r="AI484">
        <v>1006.94</v>
      </c>
      <c r="AJ484">
        <v>91.310100000000006</v>
      </c>
      <c r="AK484">
        <v>29.9315</v>
      </c>
      <c r="AL484">
        <v>12.92550902872777</v>
      </c>
      <c r="AM484">
        <v>31.732984186542879</v>
      </c>
      <c r="AN484">
        <v>31.732984186542879</v>
      </c>
      <c r="AO484" t="s">
        <v>58</v>
      </c>
      <c r="AP484" t="b">
        <v>1</v>
      </c>
      <c r="AQ484">
        <v>2.455066498039983</v>
      </c>
      <c r="AR484">
        <v>1006.94</v>
      </c>
      <c r="AS484">
        <v>31.732984186542879</v>
      </c>
      <c r="AT484">
        <v>2.455066498039983</v>
      </c>
      <c r="AU484" s="5">
        <v>23.704539187347532</v>
      </c>
      <c r="AV484" s="5">
        <v>33.859094127041253</v>
      </c>
      <c r="AW484" s="5">
        <v>1.8339346740358673</v>
      </c>
      <c r="AX484" s="5">
        <v>2.6195559534086619</v>
      </c>
      <c r="AY484" t="s">
        <v>64</v>
      </c>
      <c r="AZ484" t="s">
        <v>7</v>
      </c>
      <c r="BA484" s="23">
        <f t="shared" si="7"/>
        <v>4.6063612035701466E-2</v>
      </c>
      <c r="BB484" s="23">
        <f>IF(AND(ISNUMBER(H484),Metadata!$H$5&gt;Metadata!$G$5),MAX(Metadata!$G$5-H484,0,H484-Metadata!$H$5)/(Metadata!$H$5-Metadata!$G$5),"Missing input")</f>
        <v>4.6063612035701466E-2</v>
      </c>
      <c r="BC484" s="23">
        <f>IF(AND(ISNUMBER(L484),Metadata!$H$8&gt;Metadata!$G$8),MAX(Metadata!$G$8-L484,0,L484-Metadata!$H$8)/(Metadata!$H$8-Metadata!$G$8),"Missing input")</f>
        <v>0</v>
      </c>
    </row>
    <row r="485" spans="1:55" x14ac:dyDescent="0.2">
      <c r="A485" t="s">
        <v>575</v>
      </c>
      <c r="B485" t="s">
        <v>572</v>
      </c>
      <c r="C485" t="s">
        <v>466</v>
      </c>
      <c r="D485" t="s">
        <v>55</v>
      </c>
      <c r="E485" t="s">
        <v>467</v>
      </c>
      <c r="F485">
        <v>4</v>
      </c>
      <c r="G485">
        <v>40.065365059576777</v>
      </c>
      <c r="H485">
        <v>25.23064360495534</v>
      </c>
      <c r="I485">
        <v>1.17</v>
      </c>
      <c r="J485">
        <v>0.8</v>
      </c>
      <c r="K485">
        <v>0.54</v>
      </c>
      <c r="L485">
        <v>0.25</v>
      </c>
      <c r="N485">
        <v>125</v>
      </c>
      <c r="O485">
        <v>12</v>
      </c>
      <c r="P485">
        <v>6</v>
      </c>
      <c r="Q485">
        <v>0.53616514621265798</v>
      </c>
      <c r="R485">
        <v>2986346.165161836</v>
      </c>
      <c r="S485">
        <v>-4.9865956573800314E-3</v>
      </c>
      <c r="T485">
        <v>1323.2635029237761</v>
      </c>
      <c r="U485">
        <v>753.12627800274458</v>
      </c>
      <c r="V485">
        <v>292.75741215127789</v>
      </c>
      <c r="W485">
        <v>2.5725267636044622</v>
      </c>
      <c r="X485" t="s">
        <v>57</v>
      </c>
      <c r="Y485">
        <v>8</v>
      </c>
      <c r="Z485">
        <v>755.18600000000004</v>
      </c>
      <c r="AA485">
        <v>95.163399999999996</v>
      </c>
      <c r="AB485">
        <v>41.025399999999998</v>
      </c>
      <c r="AC485">
        <v>14.942727290010369</v>
      </c>
      <c r="AD485">
        <v>48.771650076459117</v>
      </c>
      <c r="AE485">
        <v>48.771650076459117</v>
      </c>
      <c r="AF485" t="s">
        <v>58</v>
      </c>
      <c r="AG485" t="b">
        <v>1</v>
      </c>
      <c r="AH485">
        <v>3.263905519380276</v>
      </c>
      <c r="AI485">
        <v>754.33500000000004</v>
      </c>
      <c r="AJ485">
        <v>91.310100000000006</v>
      </c>
      <c r="AK485">
        <v>39.358900000000013</v>
      </c>
      <c r="AL485">
        <v>14.69634301197946</v>
      </c>
      <c r="AM485">
        <v>48.879756901096293</v>
      </c>
      <c r="AN485">
        <v>48.879756901096293</v>
      </c>
      <c r="AO485" t="s">
        <v>58</v>
      </c>
      <c r="AP485" t="b">
        <v>1</v>
      </c>
      <c r="AQ485">
        <v>3.325980950584293</v>
      </c>
      <c r="AR485">
        <v>755.18600000000004</v>
      </c>
      <c r="AS485">
        <v>48.879756901096293</v>
      </c>
      <c r="AT485">
        <v>3.325980950584293</v>
      </c>
      <c r="AU485" s="5">
        <v>36.513178405118929</v>
      </c>
      <c r="AV485" s="5">
        <v>52.154700613469743</v>
      </c>
      <c r="AW485" s="5">
        <v>2.4845077700864668</v>
      </c>
      <c r="AX485" s="5">
        <v>3.5488216742734404</v>
      </c>
      <c r="AY485" t="s">
        <v>59</v>
      </c>
      <c r="AZ485" t="s">
        <v>60</v>
      </c>
      <c r="BA485" s="23">
        <f t="shared" si="7"/>
        <v>0</v>
      </c>
      <c r="BB485" s="23">
        <f>IF(AND(ISNUMBER(H485),Metadata!$H$5&gt;Metadata!$G$5),MAX(Metadata!$G$5-H485,0,H485-Metadata!$H$5)/(Metadata!$H$5-Metadata!$G$5),"Missing input")</f>
        <v>0</v>
      </c>
      <c r="BC485" s="23">
        <f>IF(AND(ISNUMBER(L485),Metadata!$H$8&gt;Metadata!$G$8),MAX(Metadata!$G$8-L485,0,L485-Metadata!$H$8)/(Metadata!$H$8-Metadata!$G$8),"Missing input")</f>
        <v>0</v>
      </c>
    </row>
    <row r="486" spans="1:55" x14ac:dyDescent="0.2">
      <c r="A486" t="s">
        <v>576</v>
      </c>
      <c r="B486" t="s">
        <v>572</v>
      </c>
      <c r="C486" t="s">
        <v>466</v>
      </c>
      <c r="D486" t="s">
        <v>55</v>
      </c>
      <c r="E486" t="s">
        <v>467</v>
      </c>
      <c r="F486">
        <v>5</v>
      </c>
      <c r="G486">
        <v>44.691650234033148</v>
      </c>
      <c r="H486">
        <v>35.278860063057749</v>
      </c>
      <c r="I486">
        <v>1.17</v>
      </c>
      <c r="J486">
        <v>0.8</v>
      </c>
      <c r="K486">
        <v>0.54</v>
      </c>
      <c r="L486">
        <v>0.25</v>
      </c>
      <c r="N486">
        <v>125</v>
      </c>
      <c r="O486">
        <v>12</v>
      </c>
      <c r="P486">
        <v>6</v>
      </c>
      <c r="Q486">
        <v>0.53616514621265798</v>
      </c>
      <c r="R486">
        <v>4683732.748780732</v>
      </c>
      <c r="S486">
        <v>-5.5329742389417487E-3</v>
      </c>
      <c r="T486">
        <v>2061.9786008310161</v>
      </c>
      <c r="U486">
        <v>770.83560231362162</v>
      </c>
      <c r="V486">
        <v>456.18995593606547</v>
      </c>
      <c r="W486">
        <v>1.689725063612872</v>
      </c>
      <c r="X486" t="s">
        <v>57</v>
      </c>
      <c r="Y486">
        <v>8</v>
      </c>
      <c r="Z486">
        <v>892.35199999999998</v>
      </c>
      <c r="AA486">
        <v>95.163399999999996</v>
      </c>
      <c r="AB486">
        <v>33.275799999999997</v>
      </c>
      <c r="AC486">
        <v>14.2358576217079</v>
      </c>
      <c r="AD486">
        <v>36.4113685603429</v>
      </c>
      <c r="AE486">
        <v>36.4113685603429</v>
      </c>
      <c r="AF486" t="s">
        <v>58</v>
      </c>
      <c r="AG486" t="b">
        <v>1</v>
      </c>
      <c r="AH486">
        <v>2.5577221638421079</v>
      </c>
      <c r="AI486">
        <v>890.61500000000001</v>
      </c>
      <c r="AJ486">
        <v>91.310100000000006</v>
      </c>
      <c r="AK486">
        <v>32.289299999999997</v>
      </c>
      <c r="AL486">
        <v>13.595368343035791</v>
      </c>
      <c r="AM486">
        <v>35.805257430539939</v>
      </c>
      <c r="AN486">
        <v>35.805257430539939</v>
      </c>
      <c r="AO486" t="s">
        <v>58</v>
      </c>
      <c r="AP486" t="b">
        <v>1</v>
      </c>
      <c r="AQ486">
        <v>2.6336364361088549</v>
      </c>
      <c r="AR486">
        <v>892.35199999999998</v>
      </c>
      <c r="AS486">
        <v>36.4113685603429</v>
      </c>
      <c r="AT486">
        <v>2.6336364361088549</v>
      </c>
      <c r="AU486" s="5">
        <v>27.199292314576148</v>
      </c>
      <c r="AV486" s="5">
        <v>38.850930253885871</v>
      </c>
      <c r="AW486" s="5">
        <v>1.9673264177733145</v>
      </c>
      <c r="AX486" s="5">
        <v>2.8100900773281481</v>
      </c>
      <c r="AY486" t="s">
        <v>59</v>
      </c>
      <c r="AZ486" t="s">
        <v>60</v>
      </c>
      <c r="BA486" s="23">
        <f t="shared" si="7"/>
        <v>0</v>
      </c>
      <c r="BB486" s="23">
        <f>IF(AND(ISNUMBER(H486),Metadata!$H$5&gt;Metadata!$G$5),MAX(Metadata!$G$5-H486,0,H486-Metadata!$H$5)/(Metadata!$H$5-Metadata!$G$5),"Missing input")</f>
        <v>0</v>
      </c>
      <c r="BC486" s="23">
        <f>IF(AND(ISNUMBER(L486),Metadata!$H$8&gt;Metadata!$G$8),MAX(Metadata!$G$8-L486,0,L486-Metadata!$H$8)/(Metadata!$H$8-Metadata!$G$8),"Missing input")</f>
        <v>0</v>
      </c>
    </row>
    <row r="487" spans="1:55" x14ac:dyDescent="0.2">
      <c r="A487" t="s">
        <v>577</v>
      </c>
      <c r="B487" t="s">
        <v>572</v>
      </c>
      <c r="C487" t="s">
        <v>466</v>
      </c>
      <c r="D487" t="s">
        <v>55</v>
      </c>
      <c r="E487" t="s">
        <v>467</v>
      </c>
      <c r="F487">
        <v>6</v>
      </c>
      <c r="G487">
        <v>33.086500490231572</v>
      </c>
      <c r="H487">
        <v>19.79580616436397</v>
      </c>
      <c r="I487">
        <v>1.17</v>
      </c>
      <c r="J487">
        <v>0.8</v>
      </c>
      <c r="K487">
        <v>0.54</v>
      </c>
      <c r="L487">
        <v>0.25</v>
      </c>
      <c r="N487">
        <v>125</v>
      </c>
      <c r="O487">
        <v>12</v>
      </c>
      <c r="P487">
        <v>6</v>
      </c>
      <c r="Q487">
        <v>0.53616514621265798</v>
      </c>
      <c r="R487">
        <v>1918643.176085273</v>
      </c>
      <c r="S487">
        <v>-4.421178534301776E-3</v>
      </c>
      <c r="T487">
        <v>915.0391797947683</v>
      </c>
      <c r="U487">
        <v>724.34809556380162</v>
      </c>
      <c r="V487">
        <v>202.44229641477179</v>
      </c>
      <c r="W487">
        <v>3.578047218352673</v>
      </c>
      <c r="X487" t="s">
        <v>57</v>
      </c>
      <c r="Y487">
        <v>8</v>
      </c>
      <c r="Z487">
        <v>612.79700000000003</v>
      </c>
      <c r="AA487">
        <v>95.163399999999996</v>
      </c>
      <c r="AB487">
        <v>44.910200000000003</v>
      </c>
      <c r="AC487">
        <v>15.465509647796029</v>
      </c>
      <c r="AD487">
        <v>62.350042699022353</v>
      </c>
      <c r="AE487">
        <v>62.350042699022353</v>
      </c>
      <c r="AF487" t="s">
        <v>58</v>
      </c>
      <c r="AG487" t="b">
        <v>1</v>
      </c>
      <c r="AH487">
        <v>4.03155435022523</v>
      </c>
      <c r="AI487">
        <v>607.41800000000001</v>
      </c>
      <c r="AJ487">
        <v>91.310100000000006</v>
      </c>
      <c r="AK487">
        <v>39.358900000000013</v>
      </c>
      <c r="AL487">
        <v>14.93596958587916</v>
      </c>
      <c r="AM487">
        <v>61.822311997845993</v>
      </c>
      <c r="AN487">
        <v>61.822311997845993</v>
      </c>
      <c r="AO487" t="s">
        <v>58</v>
      </c>
      <c r="AP487" t="b">
        <v>1</v>
      </c>
      <c r="AQ487">
        <v>4.1391562591486766</v>
      </c>
      <c r="AR487">
        <v>612.79700000000003</v>
      </c>
      <c r="AS487">
        <v>62.350042699022353</v>
      </c>
      <c r="AT487">
        <v>4.1391562591486766</v>
      </c>
      <c r="AU487" s="5">
        <v>46.575481896169698</v>
      </c>
      <c r="AV487" s="5">
        <v>66.527495559856845</v>
      </c>
      <c r="AW487" s="5">
        <v>3.0919497255840613</v>
      </c>
      <c r="AX487" s="5">
        <v>4.4164797285116375</v>
      </c>
      <c r="AY487" t="s">
        <v>59</v>
      </c>
      <c r="AZ487" t="s">
        <v>60</v>
      </c>
      <c r="BA487" s="23">
        <f t="shared" si="7"/>
        <v>0</v>
      </c>
      <c r="BB487" s="23">
        <f>IF(AND(ISNUMBER(H487),Metadata!$H$5&gt;Metadata!$G$5),MAX(Metadata!$G$5-H487,0,H487-Metadata!$H$5)/(Metadata!$H$5-Metadata!$G$5),"Missing input")</f>
        <v>0</v>
      </c>
      <c r="BC487" s="23">
        <f>IF(AND(ISNUMBER(L487),Metadata!$H$8&gt;Metadata!$G$8),MAX(Metadata!$G$8-L487,0,L487-Metadata!$H$8)/(Metadata!$H$8-Metadata!$G$8),"Missing input")</f>
        <v>0</v>
      </c>
    </row>
    <row r="488" spans="1:55" x14ac:dyDescent="0.2">
      <c r="A488" t="s">
        <v>578</v>
      </c>
      <c r="B488" t="s">
        <v>572</v>
      </c>
      <c r="C488" t="s">
        <v>466</v>
      </c>
      <c r="D488" t="s">
        <v>55</v>
      </c>
      <c r="E488" t="s">
        <v>467</v>
      </c>
      <c r="F488">
        <v>7</v>
      </c>
      <c r="G488">
        <v>42.943727860216583</v>
      </c>
      <c r="H488">
        <v>31.604415760045629</v>
      </c>
      <c r="I488">
        <v>1.17</v>
      </c>
      <c r="J488">
        <v>0.8</v>
      </c>
      <c r="K488">
        <v>0.54</v>
      </c>
      <c r="L488">
        <v>0.25</v>
      </c>
      <c r="N488">
        <v>125</v>
      </c>
      <c r="O488">
        <v>12</v>
      </c>
      <c r="P488">
        <v>6</v>
      </c>
      <c r="Q488">
        <v>0.53616514621265798</v>
      </c>
      <c r="R488">
        <v>4025355.613741619</v>
      </c>
      <c r="S488">
        <v>-5.407119652879832E-3</v>
      </c>
      <c r="T488">
        <v>1767.125197942283</v>
      </c>
      <c r="U488">
        <v>764.25751687900618</v>
      </c>
      <c r="V488">
        <v>390.95690219962017</v>
      </c>
      <c r="W488">
        <v>1.9548382764931489</v>
      </c>
      <c r="X488" t="s">
        <v>57</v>
      </c>
      <c r="Y488">
        <v>8</v>
      </c>
      <c r="Z488">
        <v>848.678</v>
      </c>
      <c r="AA488">
        <v>95.163399999999996</v>
      </c>
      <c r="AB488">
        <v>36.046199999999999</v>
      </c>
      <c r="AC488">
        <v>14.61516306279621</v>
      </c>
      <c r="AD488">
        <v>39.657030603686913</v>
      </c>
      <c r="AE488">
        <v>39.657030603686913</v>
      </c>
      <c r="AF488" t="s">
        <v>58</v>
      </c>
      <c r="AG488" t="b">
        <v>1</v>
      </c>
      <c r="AH488">
        <v>2.7134169104576258</v>
      </c>
      <c r="AI488">
        <v>844.29899999999998</v>
      </c>
      <c r="AJ488">
        <v>91.310100000000006</v>
      </c>
      <c r="AK488">
        <v>35.6967</v>
      </c>
      <c r="AL488">
        <v>13.991619519645431</v>
      </c>
      <c r="AM488">
        <v>39.465328422843257</v>
      </c>
      <c r="AN488">
        <v>39.465328422843257</v>
      </c>
      <c r="AO488" t="s">
        <v>58</v>
      </c>
      <c r="AP488" t="b">
        <v>1</v>
      </c>
      <c r="AQ488">
        <v>2.8206404817848689</v>
      </c>
      <c r="AR488">
        <v>848.678</v>
      </c>
      <c r="AS488">
        <v>39.657030603686913</v>
      </c>
      <c r="AT488">
        <v>2.8206404817848689</v>
      </c>
      <c r="AU488" s="5">
        <v>29.623801860954124</v>
      </c>
      <c r="AV488" s="5">
        <v>42.314051654133934</v>
      </c>
      <c r="AW488" s="5">
        <v>2.107018439893297</v>
      </c>
      <c r="AX488" s="5">
        <v>3.0096233940644548</v>
      </c>
      <c r="AY488" t="s">
        <v>59</v>
      </c>
      <c r="AZ488" t="s">
        <v>60</v>
      </c>
      <c r="BA488" s="23">
        <f t="shared" si="7"/>
        <v>0</v>
      </c>
      <c r="BB488" s="23">
        <f>IF(AND(ISNUMBER(H488),Metadata!$H$5&gt;Metadata!$G$5),MAX(Metadata!$G$5-H488,0,H488-Metadata!$H$5)/(Metadata!$H$5-Metadata!$G$5),"Missing input")</f>
        <v>0</v>
      </c>
      <c r="BC488" s="23">
        <f>IF(AND(ISNUMBER(L488),Metadata!$H$8&gt;Metadata!$G$8),MAX(Metadata!$G$8-L488,0,L488-Metadata!$H$8)/(Metadata!$H$8-Metadata!$G$8),"Missing input")</f>
        <v>0</v>
      </c>
    </row>
    <row r="489" spans="1:55" x14ac:dyDescent="0.2">
      <c r="A489" t="s">
        <v>579</v>
      </c>
      <c r="B489" t="s">
        <v>572</v>
      </c>
      <c r="C489" t="s">
        <v>466</v>
      </c>
      <c r="D489" t="s">
        <v>55</v>
      </c>
      <c r="E489" t="s">
        <v>467</v>
      </c>
      <c r="F489">
        <v>8</v>
      </c>
      <c r="G489">
        <v>29.155454969686971</v>
      </c>
      <c r="H489">
        <v>7.3398505058277053</v>
      </c>
      <c r="I489">
        <v>1.17</v>
      </c>
      <c r="J489">
        <v>0.8</v>
      </c>
      <c r="K489">
        <v>0.54</v>
      </c>
      <c r="L489">
        <v>0.25</v>
      </c>
      <c r="N489">
        <v>125</v>
      </c>
      <c r="O489">
        <v>12</v>
      </c>
      <c r="P489">
        <v>6</v>
      </c>
      <c r="Q489">
        <v>0.53616514621265798</v>
      </c>
      <c r="R489">
        <v>595711.36772068124</v>
      </c>
      <c r="S489">
        <v>-2.7297982810792188E-3</v>
      </c>
      <c r="T489">
        <v>480.50831710260849</v>
      </c>
      <c r="U489">
        <v>706.7858992589853</v>
      </c>
      <c r="V489">
        <v>106.3071498014621</v>
      </c>
      <c r="W489">
        <v>6.6485264686238876</v>
      </c>
      <c r="X489" t="s">
        <v>57</v>
      </c>
      <c r="Y489">
        <v>8</v>
      </c>
      <c r="Z489">
        <v>411.81400000000002</v>
      </c>
      <c r="AA489">
        <v>95.153300000000002</v>
      </c>
      <c r="AB489">
        <v>51.296399999999998</v>
      </c>
      <c r="AC489">
        <v>15.95936823440644</v>
      </c>
      <c r="AE489">
        <v>95.153300000000002</v>
      </c>
      <c r="AF489" t="s">
        <v>62</v>
      </c>
      <c r="AG489" t="b">
        <v>0</v>
      </c>
      <c r="AH489">
        <v>5.9622222259939566</v>
      </c>
      <c r="AI489">
        <v>407.80599999999998</v>
      </c>
      <c r="AJ489">
        <v>91.3202</v>
      </c>
      <c r="AK489">
        <v>63.521900000000009</v>
      </c>
      <c r="AL489">
        <v>15.345881742978071</v>
      </c>
      <c r="AM489">
        <v>64.881535795828412</v>
      </c>
      <c r="AN489">
        <v>64.881535795828412</v>
      </c>
      <c r="AO489" t="s">
        <v>58</v>
      </c>
      <c r="AP489" t="b">
        <v>1</v>
      </c>
      <c r="AQ489">
        <v>4.2279444663071741</v>
      </c>
      <c r="AR489">
        <v>411.81400000000002</v>
      </c>
      <c r="AS489">
        <v>95.153300000000002</v>
      </c>
      <c r="AT489">
        <v>5.9622222259939566</v>
      </c>
      <c r="AU489" s="5">
        <v>71.079515099999995</v>
      </c>
      <c r="AV489" s="5">
        <v>101.52857109999999</v>
      </c>
      <c r="AW489" s="5">
        <v>4.4537800028174859</v>
      </c>
      <c r="AX489" s="5">
        <v>6.3616911151355513</v>
      </c>
      <c r="AY489" t="s">
        <v>59</v>
      </c>
      <c r="AZ489" t="s">
        <v>60</v>
      </c>
      <c r="BA489" s="23">
        <f t="shared" si="7"/>
        <v>0</v>
      </c>
      <c r="BB489" s="23">
        <f>IF(AND(ISNUMBER(H489),Metadata!$H$5&gt;Metadata!$G$5),MAX(Metadata!$G$5-H489,0,H489-Metadata!$H$5)/(Metadata!$H$5-Metadata!$G$5),"Missing input")</f>
        <v>0</v>
      </c>
      <c r="BC489" s="23">
        <f>IF(AND(ISNUMBER(L489),Metadata!$H$8&gt;Metadata!$G$8),MAX(Metadata!$G$8-L489,0,L489-Metadata!$H$8)/(Metadata!$H$8-Metadata!$G$8),"Missing input")</f>
        <v>0</v>
      </c>
    </row>
    <row r="490" spans="1:55" x14ac:dyDescent="0.2">
      <c r="A490" t="s">
        <v>580</v>
      </c>
      <c r="B490" t="s">
        <v>572</v>
      </c>
      <c r="C490" t="s">
        <v>466</v>
      </c>
      <c r="D490" t="s">
        <v>55</v>
      </c>
      <c r="E490" t="s">
        <v>467</v>
      </c>
      <c r="F490">
        <v>9</v>
      </c>
      <c r="G490">
        <v>59.748609235827082</v>
      </c>
      <c r="H490">
        <v>37.783512331141722</v>
      </c>
      <c r="I490">
        <v>1.17</v>
      </c>
      <c r="J490">
        <v>0.8</v>
      </c>
      <c r="K490">
        <v>0.54</v>
      </c>
      <c r="L490">
        <v>0.25</v>
      </c>
      <c r="N490">
        <v>125</v>
      </c>
      <c r="O490">
        <v>12</v>
      </c>
      <c r="P490">
        <v>6</v>
      </c>
      <c r="Q490">
        <v>0.53616514621265798</v>
      </c>
      <c r="R490">
        <v>6726258.2664913209</v>
      </c>
      <c r="S490">
        <v>-5.575073339565942E-3</v>
      </c>
      <c r="T490">
        <v>2958.9793454838732</v>
      </c>
      <c r="U490">
        <v>822.87545002106197</v>
      </c>
      <c r="V490">
        <v>654.64144811590108</v>
      </c>
      <c r="W490">
        <v>1.256986480751179</v>
      </c>
      <c r="X490" t="s">
        <v>57</v>
      </c>
      <c r="Y490">
        <v>8</v>
      </c>
      <c r="Z490">
        <v>1135.6500000000001</v>
      </c>
      <c r="AA490">
        <v>95.163399999999996</v>
      </c>
      <c r="AB490">
        <v>31.764600000000002</v>
      </c>
      <c r="AC490">
        <v>14.43444581850534</v>
      </c>
      <c r="AD490">
        <v>33.866908759283973</v>
      </c>
      <c r="AE490">
        <v>33.866908759283973</v>
      </c>
      <c r="AF490" t="s">
        <v>58</v>
      </c>
      <c r="AG490" t="b">
        <v>1</v>
      </c>
      <c r="AH490">
        <v>2.3462562529325299</v>
      </c>
      <c r="AI490">
        <v>1139.1500000000001</v>
      </c>
      <c r="AJ490">
        <v>91.310100000000006</v>
      </c>
      <c r="AK490">
        <v>32.289299999999997</v>
      </c>
      <c r="AL490">
        <v>13.72994710539337</v>
      </c>
      <c r="AM490">
        <v>33.168403794849397</v>
      </c>
      <c r="AN490">
        <v>33.168403794849397</v>
      </c>
      <c r="AO490" t="s">
        <v>58</v>
      </c>
      <c r="AP490" t="b">
        <v>1</v>
      </c>
      <c r="AQ490">
        <v>2.4157706901740541</v>
      </c>
      <c r="AR490">
        <v>1139.1500000000001</v>
      </c>
      <c r="AS490">
        <v>33.866908759283973</v>
      </c>
      <c r="AT490">
        <v>2.4157706901740541</v>
      </c>
      <c r="AU490" s="5">
        <v>25.298580843185128</v>
      </c>
      <c r="AV490" s="5">
        <v>36.135991646156</v>
      </c>
      <c r="AW490" s="5">
        <v>1.8045807055600185</v>
      </c>
      <c r="AX490" s="5">
        <v>2.5776273264157155</v>
      </c>
      <c r="AY490" t="s">
        <v>59</v>
      </c>
      <c r="AZ490" t="s">
        <v>60</v>
      </c>
      <c r="BA490" s="23">
        <f t="shared" si="7"/>
        <v>0</v>
      </c>
      <c r="BB490" s="23">
        <f>IF(AND(ISNUMBER(H490),Metadata!$H$5&gt;Metadata!$G$5),MAX(Metadata!$G$5-H490,0,H490-Metadata!$H$5)/(Metadata!$H$5-Metadata!$G$5),"Missing input")</f>
        <v>0</v>
      </c>
      <c r="BC490" s="23">
        <f>IF(AND(ISNUMBER(L490),Metadata!$H$8&gt;Metadata!$G$8),MAX(Metadata!$G$8-L490,0,L490-Metadata!$H$8)/(Metadata!$H$8-Metadata!$G$8),"Missing input")</f>
        <v>0</v>
      </c>
    </row>
    <row r="491" spans="1:55" x14ac:dyDescent="0.2">
      <c r="A491" t="s">
        <v>581</v>
      </c>
      <c r="B491" t="s">
        <v>572</v>
      </c>
      <c r="C491" t="s">
        <v>466</v>
      </c>
      <c r="D491" t="s">
        <v>55</v>
      </c>
      <c r="E491" t="s">
        <v>467</v>
      </c>
      <c r="F491">
        <v>10</v>
      </c>
      <c r="G491">
        <v>34.746337553007109</v>
      </c>
      <c r="H491">
        <v>23.7414613202046</v>
      </c>
      <c r="I491">
        <v>1.17</v>
      </c>
      <c r="J491">
        <v>0.8</v>
      </c>
      <c r="K491">
        <v>0.54</v>
      </c>
      <c r="L491">
        <v>0.25</v>
      </c>
      <c r="N491">
        <v>125</v>
      </c>
      <c r="O491">
        <v>12</v>
      </c>
      <c r="P491">
        <v>6</v>
      </c>
      <c r="Q491">
        <v>0.53616514621265798</v>
      </c>
      <c r="R491">
        <v>2428507.8121004719</v>
      </c>
      <c r="S491">
        <v>-4.8497306909576383E-3</v>
      </c>
      <c r="T491">
        <v>1111.217336052197</v>
      </c>
      <c r="U491">
        <v>731.44834288856589</v>
      </c>
      <c r="V491">
        <v>245.84454337438001</v>
      </c>
      <c r="W491">
        <v>2.975247417937168</v>
      </c>
      <c r="X491" t="s">
        <v>57</v>
      </c>
      <c r="Y491">
        <v>8</v>
      </c>
      <c r="Z491">
        <v>672.17200000000003</v>
      </c>
      <c r="AA491">
        <v>95.163399999999996</v>
      </c>
      <c r="AB491">
        <v>42.220700000000001</v>
      </c>
      <c r="AC491">
        <v>15.204888997650739</v>
      </c>
      <c r="AD491">
        <v>51.31189188234346</v>
      </c>
      <c r="AE491">
        <v>51.31189188234346</v>
      </c>
      <c r="AF491" t="s">
        <v>58</v>
      </c>
      <c r="AG491" t="b">
        <v>1</v>
      </c>
      <c r="AH491">
        <v>3.3746969077032709</v>
      </c>
      <c r="AI491">
        <v>669.33299999999997</v>
      </c>
      <c r="AJ491">
        <v>91.310100000000006</v>
      </c>
      <c r="AK491">
        <v>39.358900000000013</v>
      </c>
      <c r="AL491">
        <v>14.8635490454402</v>
      </c>
      <c r="AM491">
        <v>51.503998445645777</v>
      </c>
      <c r="AN491">
        <v>51.503998445645777</v>
      </c>
      <c r="AO491" t="s">
        <v>58</v>
      </c>
      <c r="AP491" t="b">
        <v>1</v>
      </c>
      <c r="AQ491">
        <v>3.4651211691225279</v>
      </c>
      <c r="AR491">
        <v>672.17200000000003</v>
      </c>
      <c r="AS491">
        <v>51.503998445645777</v>
      </c>
      <c r="AT491">
        <v>3.4651211691225279</v>
      </c>
      <c r="AU491" s="5">
        <v>38.473486838897394</v>
      </c>
      <c r="AV491" s="5">
        <v>54.95476634150404</v>
      </c>
      <c r="AW491" s="5">
        <v>2.5884455133345283</v>
      </c>
      <c r="AX491" s="5">
        <v>3.6972842874537371</v>
      </c>
      <c r="AY491" t="s">
        <v>59</v>
      </c>
      <c r="AZ491" t="s">
        <v>60</v>
      </c>
      <c r="BA491" s="23">
        <f t="shared" si="7"/>
        <v>0</v>
      </c>
      <c r="BB491" s="23">
        <f>IF(AND(ISNUMBER(H491),Metadata!$H$5&gt;Metadata!$G$5),MAX(Metadata!$G$5-H491,0,H491-Metadata!$H$5)/(Metadata!$H$5-Metadata!$G$5),"Missing input")</f>
        <v>0</v>
      </c>
      <c r="BC491" s="23">
        <f>IF(AND(ISNUMBER(L491),Metadata!$H$8&gt;Metadata!$G$8),MAX(Metadata!$G$8-L491,0,L491-Metadata!$H$8)/(Metadata!$H$8-Metadata!$G$8),"Missing input")</f>
        <v>0</v>
      </c>
    </row>
    <row r="492" spans="1:55" x14ac:dyDescent="0.2">
      <c r="A492" t="s">
        <v>582</v>
      </c>
      <c r="B492" t="s">
        <v>572</v>
      </c>
      <c r="C492" t="s">
        <v>466</v>
      </c>
      <c r="D492" t="s">
        <v>55</v>
      </c>
      <c r="E492" t="s">
        <v>467</v>
      </c>
      <c r="F492">
        <v>11</v>
      </c>
      <c r="G492">
        <v>24.502161634428251</v>
      </c>
      <c r="H492">
        <v>33.048591474592847</v>
      </c>
      <c r="I492">
        <v>1.17</v>
      </c>
      <c r="J492">
        <v>0.8</v>
      </c>
      <c r="K492">
        <v>0.54</v>
      </c>
      <c r="L492">
        <v>0.25</v>
      </c>
      <c r="N492">
        <v>125</v>
      </c>
      <c r="O492">
        <v>12</v>
      </c>
      <c r="P492">
        <v>6</v>
      </c>
      <c r="Q492">
        <v>0.53616514621265798</v>
      </c>
      <c r="R492">
        <v>2383007.1153019848</v>
      </c>
      <c r="S492">
        <v>-5.4661473886256683E-3</v>
      </c>
      <c r="T492">
        <v>1134.971999997148</v>
      </c>
      <c r="U492">
        <v>684.38581388777777</v>
      </c>
      <c r="V492">
        <v>251.099999999369</v>
      </c>
      <c r="W492">
        <v>2.7255508318976411</v>
      </c>
      <c r="X492" t="s">
        <v>57</v>
      </c>
      <c r="Y492">
        <v>8</v>
      </c>
      <c r="Z492">
        <v>575.31600000000003</v>
      </c>
      <c r="AA492">
        <v>95.163399999999996</v>
      </c>
      <c r="AB492">
        <v>34.534999999999997</v>
      </c>
      <c r="AC492">
        <v>14.779121363439</v>
      </c>
      <c r="AD492">
        <v>38.24981540683482</v>
      </c>
      <c r="AE492">
        <v>38.24981540683482</v>
      </c>
      <c r="AF492" t="s">
        <v>58</v>
      </c>
      <c r="AG492" t="b">
        <v>1</v>
      </c>
      <c r="AH492">
        <v>2.5880980652515841</v>
      </c>
      <c r="AI492">
        <v>571.45899999999995</v>
      </c>
      <c r="AJ492">
        <v>91.310100000000006</v>
      </c>
      <c r="AK492">
        <v>32.289299999999997</v>
      </c>
      <c r="AL492">
        <v>14.122709129967779</v>
      </c>
      <c r="AM492">
        <v>39.283094140972182</v>
      </c>
      <c r="AN492">
        <v>39.283094140972182</v>
      </c>
      <c r="AO492" t="s">
        <v>58</v>
      </c>
      <c r="AP492" t="b">
        <v>1</v>
      </c>
      <c r="AQ492">
        <v>2.7815551378605652</v>
      </c>
      <c r="AR492">
        <v>575.31600000000003</v>
      </c>
      <c r="AS492">
        <v>39.283094140972182</v>
      </c>
      <c r="AT492">
        <v>2.7815551378605652</v>
      </c>
      <c r="AU492" s="5">
        <v>29.34447132330622</v>
      </c>
      <c r="AV492" s="5">
        <v>41.915061448417319</v>
      </c>
      <c r="AW492" s="5">
        <v>2.0778216879818423</v>
      </c>
      <c r="AX492" s="5">
        <v>2.9679193320972228</v>
      </c>
      <c r="AY492" t="s">
        <v>59</v>
      </c>
      <c r="AZ492" t="s">
        <v>60</v>
      </c>
      <c r="BA492" s="23">
        <f t="shared" si="7"/>
        <v>0</v>
      </c>
      <c r="BB492" s="23">
        <f>IF(AND(ISNUMBER(H492),Metadata!$H$5&gt;Metadata!$G$5),MAX(Metadata!$G$5-H492,0,H492-Metadata!$H$5)/(Metadata!$H$5-Metadata!$G$5),"Missing input")</f>
        <v>0</v>
      </c>
      <c r="BC492" s="23">
        <f>IF(AND(ISNUMBER(L492),Metadata!$H$8&gt;Metadata!$G$8),MAX(Metadata!$G$8-L492,0,L492-Metadata!$H$8)/(Metadata!$H$8-Metadata!$G$8),"Missing input")</f>
        <v>0</v>
      </c>
    </row>
    <row r="493" spans="1:55" x14ac:dyDescent="0.2">
      <c r="A493" t="s">
        <v>583</v>
      </c>
      <c r="B493" t="s">
        <v>572</v>
      </c>
      <c r="C493" t="s">
        <v>466</v>
      </c>
      <c r="D493" t="s">
        <v>55</v>
      </c>
      <c r="E493" t="s">
        <v>467</v>
      </c>
      <c r="F493">
        <v>12</v>
      </c>
      <c r="G493">
        <v>56.241153781572699</v>
      </c>
      <c r="H493">
        <v>14.78764467513273</v>
      </c>
      <c r="I493">
        <v>1.17</v>
      </c>
      <c r="J493">
        <v>0.8</v>
      </c>
      <c r="K493">
        <v>0.54</v>
      </c>
      <c r="L493">
        <v>0.25</v>
      </c>
      <c r="N493">
        <v>125</v>
      </c>
      <c r="O493">
        <v>12</v>
      </c>
      <c r="P493">
        <v>6</v>
      </c>
      <c r="Q493">
        <v>0.53616514621265798</v>
      </c>
      <c r="R493">
        <v>2448743.9197241841</v>
      </c>
      <c r="S493">
        <v>-3.76931548715775E-3</v>
      </c>
      <c r="T493">
        <v>1060.8343060705299</v>
      </c>
      <c r="U493">
        <v>811.40111588676484</v>
      </c>
      <c r="V493">
        <v>234.69785532533859</v>
      </c>
      <c r="W493">
        <v>3.4572157242851631</v>
      </c>
      <c r="X493" t="s">
        <v>57</v>
      </c>
      <c r="Y493">
        <v>8</v>
      </c>
      <c r="Z493">
        <v>765.93399999999997</v>
      </c>
      <c r="AA493">
        <v>95.163399999999996</v>
      </c>
      <c r="AB493">
        <v>51.296399999999998</v>
      </c>
      <c r="AC493">
        <v>14.504169804861339</v>
      </c>
      <c r="AD493">
        <v>79.089721393680691</v>
      </c>
      <c r="AE493">
        <v>79.089721393680691</v>
      </c>
      <c r="AF493" t="s">
        <v>58</v>
      </c>
      <c r="AG493" t="b">
        <v>1</v>
      </c>
      <c r="AH493">
        <v>5.4528954402596908</v>
      </c>
      <c r="AI493">
        <v>761.46500000000003</v>
      </c>
      <c r="AJ493">
        <v>91.310100000000006</v>
      </c>
      <c r="AK493">
        <v>51.757599999999996</v>
      </c>
      <c r="AL493">
        <v>14.11318912178297</v>
      </c>
      <c r="AM493">
        <v>78.554816360491813</v>
      </c>
      <c r="AN493">
        <v>78.554816360491813</v>
      </c>
      <c r="AO493" t="s">
        <v>58</v>
      </c>
      <c r="AP493" t="b">
        <v>1</v>
      </c>
      <c r="AQ493">
        <v>5.5660570890562626</v>
      </c>
      <c r="AR493">
        <v>765.93399999999997</v>
      </c>
      <c r="AS493">
        <v>79.089721393680691</v>
      </c>
      <c r="AT493">
        <v>5.5660570890562626</v>
      </c>
      <c r="AU493" s="5">
        <v>59.080021881079475</v>
      </c>
      <c r="AV493" s="5">
        <v>84.388732727057288</v>
      </c>
      <c r="AW493" s="5">
        <v>4.157844645525028</v>
      </c>
      <c r="AX493" s="5">
        <v>5.9389829140230317</v>
      </c>
      <c r="AY493" t="s">
        <v>59</v>
      </c>
      <c r="AZ493" t="s">
        <v>60</v>
      </c>
      <c r="BA493" s="23">
        <f t="shared" si="7"/>
        <v>0</v>
      </c>
      <c r="BB493" s="23">
        <f>IF(AND(ISNUMBER(H493),Metadata!$H$5&gt;Metadata!$G$5),MAX(Metadata!$G$5-H493,0,H493-Metadata!$H$5)/(Metadata!$H$5-Metadata!$G$5),"Missing input")</f>
        <v>0</v>
      </c>
      <c r="BC493" s="23">
        <f>IF(AND(ISNUMBER(L493),Metadata!$H$8&gt;Metadata!$G$8),MAX(Metadata!$G$8-L493,0,L493-Metadata!$H$8)/(Metadata!$H$8-Metadata!$G$8),"Missing input")</f>
        <v>0</v>
      </c>
    </row>
    <row r="494" spans="1:55" x14ac:dyDescent="0.2">
      <c r="A494" t="s">
        <v>584</v>
      </c>
      <c r="B494" t="s">
        <v>572</v>
      </c>
      <c r="C494" t="s">
        <v>466</v>
      </c>
      <c r="D494" t="s">
        <v>55</v>
      </c>
      <c r="E494" t="s">
        <v>467</v>
      </c>
      <c r="F494">
        <v>13</v>
      </c>
      <c r="G494">
        <v>49.119901382435643</v>
      </c>
      <c r="H494">
        <v>22.54933477691009</v>
      </c>
      <c r="I494">
        <v>1.17</v>
      </c>
      <c r="J494">
        <v>0.8</v>
      </c>
      <c r="K494">
        <v>0.54</v>
      </c>
      <c r="L494">
        <v>0.25</v>
      </c>
      <c r="N494">
        <v>125</v>
      </c>
      <c r="O494">
        <v>12</v>
      </c>
      <c r="P494">
        <v>6</v>
      </c>
      <c r="Q494">
        <v>0.53616514621265798</v>
      </c>
      <c r="R494">
        <v>3276584.6264440492</v>
      </c>
      <c r="S494">
        <v>-4.7299668153996449E-3</v>
      </c>
      <c r="T494">
        <v>1412.968799359719</v>
      </c>
      <c r="U494">
        <v>786.94653369120795</v>
      </c>
      <c r="V494">
        <v>312.60371667250428</v>
      </c>
      <c r="W494">
        <v>2.5173934016774462</v>
      </c>
      <c r="X494" t="s">
        <v>57</v>
      </c>
      <c r="Y494">
        <v>8</v>
      </c>
      <c r="Z494">
        <v>842.58</v>
      </c>
      <c r="AA494">
        <v>95.163399999999996</v>
      </c>
      <c r="AB494">
        <v>44.3125</v>
      </c>
      <c r="AC494">
        <v>14.998609920255189</v>
      </c>
      <c r="AD494">
        <v>54.438812503329189</v>
      </c>
      <c r="AE494">
        <v>54.438812503329189</v>
      </c>
      <c r="AF494" t="s">
        <v>58</v>
      </c>
      <c r="AG494" t="b">
        <v>1</v>
      </c>
      <c r="AH494">
        <v>3.6295905282402972</v>
      </c>
      <c r="AI494">
        <v>836.73400000000004</v>
      </c>
      <c r="AJ494">
        <v>91.310100000000006</v>
      </c>
      <c r="AK494">
        <v>44.200299999999999</v>
      </c>
      <c r="AL494">
        <v>14.622255561237539</v>
      </c>
      <c r="AM494">
        <v>53.851514888575011</v>
      </c>
      <c r="AN494">
        <v>53.851514888575011</v>
      </c>
      <c r="AO494" t="s">
        <v>58</v>
      </c>
      <c r="AP494" t="b">
        <v>1</v>
      </c>
      <c r="AQ494">
        <v>3.682845964704049</v>
      </c>
      <c r="AR494">
        <v>842.58</v>
      </c>
      <c r="AS494">
        <v>54.438812503329189</v>
      </c>
      <c r="AT494">
        <v>3.682845964704049</v>
      </c>
      <c r="AU494" s="5">
        <v>40.6657929399869</v>
      </c>
      <c r="AV494" s="5">
        <v>58.086212941052239</v>
      </c>
      <c r="AW494" s="5">
        <v>2.7510859356339248</v>
      </c>
      <c r="AX494" s="5">
        <v>3.9295966443392203</v>
      </c>
      <c r="AY494" t="s">
        <v>59</v>
      </c>
      <c r="AZ494" t="s">
        <v>60</v>
      </c>
      <c r="BA494" s="23">
        <f t="shared" si="7"/>
        <v>0</v>
      </c>
      <c r="BB494" s="23">
        <f>IF(AND(ISNUMBER(H494),Metadata!$H$5&gt;Metadata!$G$5),MAX(Metadata!$G$5-H494,0,H494-Metadata!$H$5)/(Metadata!$H$5-Metadata!$G$5),"Missing input")</f>
        <v>0</v>
      </c>
      <c r="BC494" s="23">
        <f>IF(AND(ISNUMBER(L494),Metadata!$H$8&gt;Metadata!$G$8),MAX(Metadata!$G$8-L494,0,L494-Metadata!$H$8)/(Metadata!$H$8-Metadata!$G$8),"Missing input")</f>
        <v>0</v>
      </c>
    </row>
    <row r="495" spans="1:55" x14ac:dyDescent="0.2">
      <c r="A495" t="s">
        <v>585</v>
      </c>
      <c r="B495" t="s">
        <v>572</v>
      </c>
      <c r="C495" t="s">
        <v>466</v>
      </c>
      <c r="D495" t="s">
        <v>55</v>
      </c>
      <c r="E495" t="s">
        <v>467</v>
      </c>
      <c r="F495">
        <v>14</v>
      </c>
      <c r="G495">
        <v>37.958866376576751</v>
      </c>
      <c r="H495">
        <v>9.8264864335603903</v>
      </c>
      <c r="I495">
        <v>1.17</v>
      </c>
      <c r="J495">
        <v>0.8</v>
      </c>
      <c r="K495">
        <v>0.54</v>
      </c>
      <c r="L495">
        <v>0.25</v>
      </c>
      <c r="N495">
        <v>125</v>
      </c>
      <c r="O495">
        <v>12</v>
      </c>
      <c r="P495">
        <v>6</v>
      </c>
      <c r="Q495">
        <v>0.53616514621265798</v>
      </c>
      <c r="R495">
        <v>1072728.181448289</v>
      </c>
      <c r="S495">
        <v>-3.0721352164294392E-3</v>
      </c>
      <c r="T495">
        <v>610.81355109044614</v>
      </c>
      <c r="U495">
        <v>744.72430032575369</v>
      </c>
      <c r="V495">
        <v>135.13574139169171</v>
      </c>
      <c r="W495">
        <v>5.5109350987106103</v>
      </c>
      <c r="X495" t="s">
        <v>57</v>
      </c>
      <c r="Y495">
        <v>8</v>
      </c>
      <c r="Z495">
        <v>508.072</v>
      </c>
      <c r="AA495">
        <v>95.163399999999996</v>
      </c>
      <c r="AB495">
        <v>51.296399999999998</v>
      </c>
      <c r="AC495">
        <v>15.22999092920354</v>
      </c>
      <c r="AE495">
        <v>95.163399999999996</v>
      </c>
      <c r="AF495" t="s">
        <v>62</v>
      </c>
      <c r="AG495" t="b">
        <v>0</v>
      </c>
      <c r="AH495">
        <v>6.2484213183294797</v>
      </c>
      <c r="AI495">
        <v>504.55900000000003</v>
      </c>
      <c r="AJ495">
        <v>91.310100000000006</v>
      </c>
      <c r="AK495">
        <v>60.942799999999998</v>
      </c>
      <c r="AL495">
        <v>14.76284976456226</v>
      </c>
      <c r="AN495">
        <v>91.310100000000006</v>
      </c>
      <c r="AO495" t="s">
        <v>62</v>
      </c>
      <c r="AP495" t="b">
        <v>0</v>
      </c>
      <c r="AQ495">
        <v>6.185126954227151</v>
      </c>
      <c r="AR495">
        <v>508.072</v>
      </c>
      <c r="AS495">
        <v>95.163399999999996</v>
      </c>
      <c r="AT495">
        <v>6.2484213183294797</v>
      </c>
      <c r="AU495" s="5">
        <v>71.087059799999992</v>
      </c>
      <c r="AV495" s="5">
        <v>101.53934779999999</v>
      </c>
      <c r="AW495" s="5">
        <v>4.667570724792121</v>
      </c>
      <c r="AX495" s="5">
        <v>6.6670655466575548</v>
      </c>
      <c r="AY495" t="s">
        <v>59</v>
      </c>
      <c r="AZ495" t="s">
        <v>60</v>
      </c>
      <c r="BA495" s="23">
        <f t="shared" si="7"/>
        <v>0</v>
      </c>
      <c r="BB495" s="23">
        <f>IF(AND(ISNUMBER(H495),Metadata!$H$5&gt;Metadata!$G$5),MAX(Metadata!$G$5-H495,0,H495-Metadata!$H$5)/(Metadata!$H$5-Metadata!$G$5),"Missing input")</f>
        <v>0</v>
      </c>
      <c r="BC495" s="23">
        <f>IF(AND(ISNUMBER(L495),Metadata!$H$8&gt;Metadata!$G$8),MAX(Metadata!$G$8-L495,0,L495-Metadata!$H$8)/(Metadata!$H$8-Metadata!$G$8),"Missing input")</f>
        <v>0</v>
      </c>
    </row>
    <row r="496" spans="1:55" x14ac:dyDescent="0.2">
      <c r="A496" t="s">
        <v>586</v>
      </c>
      <c r="B496" t="s">
        <v>572</v>
      </c>
      <c r="C496" t="s">
        <v>466</v>
      </c>
      <c r="D496" t="s">
        <v>55</v>
      </c>
      <c r="E496" t="s">
        <v>467</v>
      </c>
      <c r="F496">
        <v>15</v>
      </c>
      <c r="G496">
        <v>27.308053040943211</v>
      </c>
      <c r="H496">
        <v>5.2772178758296739</v>
      </c>
      <c r="I496">
        <v>1.17</v>
      </c>
      <c r="J496">
        <v>0.8</v>
      </c>
      <c r="K496">
        <v>0.54</v>
      </c>
      <c r="L496">
        <v>0.25</v>
      </c>
      <c r="N496">
        <v>125</v>
      </c>
      <c r="O496">
        <v>12</v>
      </c>
      <c r="P496">
        <v>6</v>
      </c>
      <c r="Q496">
        <v>0.53616514621265798</v>
      </c>
      <c r="R496">
        <v>386052.96198531118</v>
      </c>
      <c r="S496">
        <v>-2.4589482027185671E-3</v>
      </c>
      <c r="T496">
        <v>428.52672237905682</v>
      </c>
      <c r="U496">
        <v>698.12364149884274</v>
      </c>
      <c r="V496">
        <v>94.806796986516986</v>
      </c>
      <c r="W496">
        <v>7.3636454736270318</v>
      </c>
      <c r="X496" t="s">
        <v>57</v>
      </c>
      <c r="Y496">
        <v>8</v>
      </c>
      <c r="Z496">
        <v>371.36599999999999</v>
      </c>
      <c r="AA496">
        <v>95.163399999999996</v>
      </c>
      <c r="AB496">
        <v>51.296399999999998</v>
      </c>
      <c r="AC496">
        <v>16.355877769110769</v>
      </c>
      <c r="AE496">
        <v>95.163399999999996</v>
      </c>
      <c r="AF496" t="s">
        <v>62</v>
      </c>
      <c r="AG496" t="b">
        <v>0</v>
      </c>
      <c r="AH496">
        <v>5.8182997784272281</v>
      </c>
      <c r="AI496">
        <v>369.77</v>
      </c>
      <c r="AJ496">
        <v>91.310100000000006</v>
      </c>
      <c r="AK496">
        <v>32.289299999999997</v>
      </c>
      <c r="AL496">
        <v>15.88890416498994</v>
      </c>
      <c r="AN496">
        <v>91.310100000000006</v>
      </c>
      <c r="AO496" t="s">
        <v>62</v>
      </c>
      <c r="AP496" t="b">
        <v>0</v>
      </c>
      <c r="AQ496">
        <v>5.7467839853421276</v>
      </c>
      <c r="AR496">
        <v>371.36599999999999</v>
      </c>
      <c r="AS496">
        <v>95.163399999999996</v>
      </c>
      <c r="AT496">
        <v>5.8182997784272281</v>
      </c>
      <c r="AU496" s="5">
        <v>71.087059799999992</v>
      </c>
      <c r="AV496" s="5">
        <v>101.53934779999999</v>
      </c>
      <c r="AW496" s="5">
        <v>4.3462699344851394</v>
      </c>
      <c r="AX496" s="5">
        <v>6.2081258635818521</v>
      </c>
      <c r="AY496" t="s">
        <v>59</v>
      </c>
      <c r="AZ496" t="s">
        <v>60</v>
      </c>
      <c r="BA496" s="23">
        <f t="shared" si="7"/>
        <v>0</v>
      </c>
      <c r="BB496" s="23">
        <f>IF(AND(ISNUMBER(H496),Metadata!$H$5&gt;Metadata!$G$5),MAX(Metadata!$G$5-H496,0,H496-Metadata!$H$5)/(Metadata!$H$5-Metadata!$G$5),"Missing input")</f>
        <v>0</v>
      </c>
      <c r="BC496" s="23">
        <f>IF(AND(ISNUMBER(L496),Metadata!$H$8&gt;Metadata!$G$8),MAX(Metadata!$G$8-L496,0,L496-Metadata!$H$8)/(Metadata!$H$8-Metadata!$G$8),"Missing input")</f>
        <v>0</v>
      </c>
    </row>
    <row r="497" spans="1:55" x14ac:dyDescent="0.2">
      <c r="A497" t="s">
        <v>587</v>
      </c>
      <c r="B497" t="s">
        <v>572</v>
      </c>
      <c r="C497" t="s">
        <v>466</v>
      </c>
      <c r="D497" t="s">
        <v>55</v>
      </c>
      <c r="E497" t="s">
        <v>467</v>
      </c>
      <c r="F497">
        <v>16</v>
      </c>
      <c r="G497">
        <v>31.1252119640606</v>
      </c>
      <c r="H497">
        <v>39.5069074866867</v>
      </c>
      <c r="I497">
        <v>1.17</v>
      </c>
      <c r="J497">
        <v>0.8</v>
      </c>
      <c r="K497">
        <v>0.54</v>
      </c>
      <c r="L497">
        <v>0.25</v>
      </c>
      <c r="N497">
        <v>125</v>
      </c>
      <c r="O497">
        <v>12</v>
      </c>
      <c r="P497">
        <v>6</v>
      </c>
      <c r="Q497">
        <v>0.53616514621265798</v>
      </c>
      <c r="R497">
        <v>3642703.933702969</v>
      </c>
      <c r="S497">
        <v>-5.5852405827418244E-3</v>
      </c>
      <c r="T497">
        <v>1657.5346780090949</v>
      </c>
      <c r="U497">
        <v>715.72465594585606</v>
      </c>
      <c r="V497">
        <v>366.71121194891492</v>
      </c>
      <c r="W497">
        <v>1.9517392231944111</v>
      </c>
      <c r="X497" t="s">
        <v>57</v>
      </c>
      <c r="Y497">
        <v>8</v>
      </c>
      <c r="Z497">
        <v>687.43799999999999</v>
      </c>
      <c r="AA497">
        <v>95.163399999999996</v>
      </c>
      <c r="AB497">
        <v>30.253499999999999</v>
      </c>
      <c r="AC497">
        <v>13.614713555701609</v>
      </c>
      <c r="AD497">
        <v>33.200942070261441</v>
      </c>
      <c r="AE497">
        <v>33.200942070261441</v>
      </c>
      <c r="AF497" t="s">
        <v>58</v>
      </c>
      <c r="AG497" t="b">
        <v>1</v>
      </c>
      <c r="AH497">
        <v>2.4386074620246019</v>
      </c>
      <c r="AI497">
        <v>693.25099999999998</v>
      </c>
      <c r="AJ497">
        <v>91.310100000000006</v>
      </c>
      <c r="AK497">
        <v>31.0032</v>
      </c>
      <c r="AL497">
        <v>13.0937854516662</v>
      </c>
      <c r="AM497">
        <v>32.441931587103163</v>
      </c>
      <c r="AN497">
        <v>32.441931587103163</v>
      </c>
      <c r="AO497" t="s">
        <v>58</v>
      </c>
      <c r="AP497" t="b">
        <v>1</v>
      </c>
      <c r="AQ497">
        <v>2.477658711215164</v>
      </c>
      <c r="AR497">
        <v>693.25099999999998</v>
      </c>
      <c r="AS497">
        <v>33.200942070261441</v>
      </c>
      <c r="AT497">
        <v>2.477658711215164</v>
      </c>
      <c r="AU497" s="5">
        <v>24.801103726485294</v>
      </c>
      <c r="AV497" s="5">
        <v>35.425405188968952</v>
      </c>
      <c r="AW497" s="5">
        <v>1.8508110572777274</v>
      </c>
      <c r="AX497" s="5">
        <v>2.6436618448665801</v>
      </c>
      <c r="AY497" t="s">
        <v>59</v>
      </c>
      <c r="AZ497" t="s">
        <v>60</v>
      </c>
      <c r="BA497" s="23">
        <f t="shared" si="7"/>
        <v>0</v>
      </c>
      <c r="BB497" s="23">
        <f>IF(AND(ISNUMBER(H497),Metadata!$H$5&gt;Metadata!$G$5),MAX(Metadata!$G$5-H497,0,H497-Metadata!$H$5)/(Metadata!$H$5-Metadata!$G$5),"Missing input")</f>
        <v>0</v>
      </c>
      <c r="BC497" s="23">
        <f>IF(AND(ISNUMBER(L497),Metadata!$H$8&gt;Metadata!$G$8),MAX(Metadata!$G$8-L497,0,L497-Metadata!$H$8)/(Metadata!$H$8-Metadata!$G$8),"Missing input")</f>
        <v>0</v>
      </c>
    </row>
    <row r="498" spans="1:55" x14ac:dyDescent="0.2">
      <c r="A498" t="s">
        <v>588</v>
      </c>
      <c r="B498" t="s">
        <v>572</v>
      </c>
      <c r="C498" t="s">
        <v>466</v>
      </c>
      <c r="D498" t="s">
        <v>55</v>
      </c>
      <c r="E498" t="s">
        <v>467</v>
      </c>
      <c r="F498">
        <v>17</v>
      </c>
      <c r="G498">
        <v>46.390186033042063</v>
      </c>
      <c r="H498">
        <v>16.21387510983789</v>
      </c>
      <c r="I498">
        <v>1.17</v>
      </c>
      <c r="J498">
        <v>0.8</v>
      </c>
      <c r="K498">
        <v>0.54</v>
      </c>
      <c r="L498">
        <v>0.25</v>
      </c>
      <c r="N498">
        <v>125</v>
      </c>
      <c r="O498">
        <v>12</v>
      </c>
      <c r="P498">
        <v>6</v>
      </c>
      <c r="Q498">
        <v>0.53616514621265798</v>
      </c>
      <c r="R498">
        <v>2210215.3729856689</v>
      </c>
      <c r="S498">
        <v>-3.9638908043996323E-3</v>
      </c>
      <c r="T498">
        <v>992.19235058261199</v>
      </c>
      <c r="U498">
        <v>777.10568399344538</v>
      </c>
      <c r="V498">
        <v>219.5115819873036</v>
      </c>
      <c r="W498">
        <v>3.5401580042295571</v>
      </c>
      <c r="X498" t="s">
        <v>57</v>
      </c>
      <c r="Y498">
        <v>8</v>
      </c>
      <c r="Z498">
        <v>703.36</v>
      </c>
      <c r="AA498">
        <v>71.623400000000004</v>
      </c>
      <c r="AB498">
        <v>51.296399999999998</v>
      </c>
      <c r="AC498">
        <v>14.86790833959429</v>
      </c>
      <c r="AE498">
        <v>71.623400000000004</v>
      </c>
      <c r="AF498" t="s">
        <v>62</v>
      </c>
      <c r="AG498" t="b">
        <v>0</v>
      </c>
      <c r="AH498">
        <v>4.8173151437355752</v>
      </c>
      <c r="AI498">
        <v>698.86</v>
      </c>
      <c r="AJ498">
        <v>78.510899999999992</v>
      </c>
      <c r="AK498">
        <v>51.757599999999996</v>
      </c>
      <c r="AL498">
        <v>14.428880323139071</v>
      </c>
      <c r="AM498">
        <v>51.876137180644378</v>
      </c>
      <c r="AN498">
        <v>51.876137180644378</v>
      </c>
      <c r="AO498" t="s">
        <v>58</v>
      </c>
      <c r="AP498" t="b">
        <v>1</v>
      </c>
      <c r="AQ498">
        <v>3.5952988741234839</v>
      </c>
      <c r="AR498">
        <v>703.36</v>
      </c>
      <c r="AS498">
        <v>71.623400000000004</v>
      </c>
      <c r="AT498">
        <v>4.8173151437355752</v>
      </c>
      <c r="AU498" s="5">
        <v>53.502679800000003</v>
      </c>
      <c r="AV498" s="5">
        <v>76.422167799999997</v>
      </c>
      <c r="AW498" s="5">
        <v>3.5985344123704746</v>
      </c>
      <c r="AX498" s="5">
        <v>5.1400752583658589</v>
      </c>
      <c r="AY498" t="s">
        <v>59</v>
      </c>
      <c r="AZ498" t="s">
        <v>60</v>
      </c>
      <c r="BA498" s="23">
        <f t="shared" si="7"/>
        <v>0</v>
      </c>
      <c r="BB498" s="23">
        <f>IF(AND(ISNUMBER(H498),Metadata!$H$5&gt;Metadata!$G$5),MAX(Metadata!$G$5-H498,0,H498-Metadata!$H$5)/(Metadata!$H$5-Metadata!$G$5),"Missing input")</f>
        <v>0</v>
      </c>
      <c r="BC498" s="23">
        <f>IF(AND(ISNUMBER(L498),Metadata!$H$8&gt;Metadata!$G$8),MAX(Metadata!$G$8-L498,0,L498-Metadata!$H$8)/(Metadata!$H$8-Metadata!$G$8),"Missing input")</f>
        <v>0</v>
      </c>
    </row>
    <row r="499" spans="1:55" x14ac:dyDescent="0.2">
      <c r="A499" t="s">
        <v>589</v>
      </c>
      <c r="B499" t="s">
        <v>572</v>
      </c>
      <c r="C499" t="s">
        <v>466</v>
      </c>
      <c r="D499" t="s">
        <v>55</v>
      </c>
      <c r="E499" t="s">
        <v>467</v>
      </c>
      <c r="F499">
        <v>18</v>
      </c>
      <c r="G499">
        <v>54.165408264435399</v>
      </c>
      <c r="H499">
        <v>18.25275816413232</v>
      </c>
      <c r="I499">
        <v>1.17</v>
      </c>
      <c r="J499">
        <v>0.8</v>
      </c>
      <c r="K499">
        <v>0.54</v>
      </c>
      <c r="L499">
        <v>0.25</v>
      </c>
      <c r="N499">
        <v>125</v>
      </c>
      <c r="O499">
        <v>12</v>
      </c>
      <c r="P499">
        <v>6</v>
      </c>
      <c r="Q499">
        <v>0.53616514621265798</v>
      </c>
      <c r="R499">
        <v>2919725.6187367002</v>
      </c>
      <c r="S499">
        <v>-4.2307787084478049E-3</v>
      </c>
      <c r="T499">
        <v>1250.244632367107</v>
      </c>
      <c r="U499">
        <v>804.44140245145684</v>
      </c>
      <c r="V499">
        <v>276.6027947714839</v>
      </c>
      <c r="W499">
        <v>2.908290941586646</v>
      </c>
      <c r="X499" t="s">
        <v>57</v>
      </c>
      <c r="Y499">
        <v>8</v>
      </c>
      <c r="Z499">
        <v>824.54200000000003</v>
      </c>
      <c r="AA499">
        <v>95.163399999999996</v>
      </c>
      <c r="AB499">
        <v>49.930799999999998</v>
      </c>
      <c r="AC499">
        <v>14.73827726833977</v>
      </c>
      <c r="AD499">
        <v>66.824816587702401</v>
      </c>
      <c r="AE499">
        <v>66.824816587702401</v>
      </c>
      <c r="AF499" t="s">
        <v>58</v>
      </c>
      <c r="AG499" t="b">
        <v>1</v>
      </c>
      <c r="AH499">
        <v>4.5340995674747573</v>
      </c>
      <c r="AI499">
        <v>819.60900000000004</v>
      </c>
      <c r="AJ499">
        <v>91.310100000000006</v>
      </c>
      <c r="AK499">
        <v>50.04</v>
      </c>
      <c r="AL499">
        <v>14.429119297032191</v>
      </c>
      <c r="AM499">
        <v>66.78862652477639</v>
      </c>
      <c r="AN499">
        <v>66.78862652477639</v>
      </c>
      <c r="AO499" t="s">
        <v>58</v>
      </c>
      <c r="AP499" t="b">
        <v>1</v>
      </c>
      <c r="AQ499">
        <v>4.6287389514142827</v>
      </c>
      <c r="AR499">
        <v>824.54200000000003</v>
      </c>
      <c r="AS499">
        <v>66.824816587702401</v>
      </c>
      <c r="AT499">
        <v>4.6287389514142827</v>
      </c>
      <c r="AU499" s="5">
        <v>49.918137991013694</v>
      </c>
      <c r="AV499" s="5">
        <v>71.302079299078457</v>
      </c>
      <c r="AW499" s="5">
        <v>3.4576679967064692</v>
      </c>
      <c r="AX499" s="5">
        <v>4.9388644611590395</v>
      </c>
      <c r="AY499" t="s">
        <v>59</v>
      </c>
      <c r="AZ499" t="s">
        <v>60</v>
      </c>
      <c r="BA499" s="23">
        <f t="shared" si="7"/>
        <v>0</v>
      </c>
      <c r="BB499" s="23">
        <f>IF(AND(ISNUMBER(H499),Metadata!$H$5&gt;Metadata!$G$5),MAX(Metadata!$G$5-H499,0,H499-Metadata!$H$5)/(Metadata!$H$5-Metadata!$G$5),"Missing input")</f>
        <v>0</v>
      </c>
      <c r="BC499" s="23">
        <f>IF(AND(ISNUMBER(L499),Metadata!$H$8&gt;Metadata!$G$8),MAX(Metadata!$G$8-L499,0,L499-Metadata!$H$8)/(Metadata!$H$8-Metadata!$G$8),"Missing input")</f>
        <v>0</v>
      </c>
    </row>
    <row r="500" spans="1:55" x14ac:dyDescent="0.2">
      <c r="A500" t="s">
        <v>590</v>
      </c>
      <c r="B500" t="s">
        <v>572</v>
      </c>
      <c r="C500" t="s">
        <v>466</v>
      </c>
      <c r="D500" t="s">
        <v>55</v>
      </c>
      <c r="E500" t="s">
        <v>467</v>
      </c>
      <c r="F500">
        <v>19</v>
      </c>
      <c r="G500">
        <v>21.707483118551171</v>
      </c>
      <c r="H500">
        <v>43.497365085878002</v>
      </c>
      <c r="I500">
        <v>1.17</v>
      </c>
      <c r="J500">
        <v>0.8</v>
      </c>
      <c r="K500">
        <v>0.54</v>
      </c>
      <c r="L500">
        <v>0.25</v>
      </c>
      <c r="N500">
        <v>125</v>
      </c>
      <c r="O500">
        <v>12</v>
      </c>
      <c r="P500">
        <v>6</v>
      </c>
      <c r="Q500">
        <v>0.53616514621265798</v>
      </c>
      <c r="R500">
        <v>2786376.2799094608</v>
      </c>
      <c r="S500">
        <v>-5.5552280633897012E-3</v>
      </c>
      <c r="T500">
        <v>1327.844178866673</v>
      </c>
      <c r="U500">
        <v>669.89609780516332</v>
      </c>
      <c r="V500">
        <v>293.77083603244972</v>
      </c>
      <c r="W500">
        <v>2.2803356073479231</v>
      </c>
      <c r="X500" t="s">
        <v>57</v>
      </c>
      <c r="Y500">
        <v>8</v>
      </c>
      <c r="Z500">
        <v>539.07899999999995</v>
      </c>
      <c r="AA500">
        <v>95.163399999999996</v>
      </c>
      <c r="AB500">
        <v>28.490600000000001</v>
      </c>
      <c r="AC500">
        <v>13.42068821559074</v>
      </c>
      <c r="AD500">
        <v>31.39008879531637</v>
      </c>
      <c r="AE500">
        <v>31.39008879531637</v>
      </c>
      <c r="AF500" t="s">
        <v>58</v>
      </c>
      <c r="AG500" t="b">
        <v>1</v>
      </c>
      <c r="AH500">
        <v>2.3389328692436711</v>
      </c>
      <c r="AI500">
        <v>545.45299999999997</v>
      </c>
      <c r="AJ500">
        <v>91.310100000000006</v>
      </c>
      <c r="AK500">
        <v>29.502800000000001</v>
      </c>
      <c r="AL500">
        <v>12.86388530128875</v>
      </c>
      <c r="AM500">
        <v>32.292801375190876</v>
      </c>
      <c r="AN500">
        <v>32.292801375190876</v>
      </c>
      <c r="AO500" t="s">
        <v>58</v>
      </c>
      <c r="AP500" t="b">
        <v>1</v>
      </c>
      <c r="AQ500">
        <v>2.5103458728721471</v>
      </c>
      <c r="AR500">
        <v>545.45299999999997</v>
      </c>
      <c r="AS500">
        <v>32.292801375190876</v>
      </c>
      <c r="AT500">
        <v>2.5103458728721471</v>
      </c>
      <c r="AU500" s="5">
        <v>24.122722627267585</v>
      </c>
      <c r="AV500" s="5">
        <v>34.45641906732866</v>
      </c>
      <c r="AW500" s="5">
        <v>1.8752283670354939</v>
      </c>
      <c r="AX500" s="5">
        <v>2.6785390463545808</v>
      </c>
      <c r="AY500" t="s">
        <v>64</v>
      </c>
      <c r="AZ500" t="s">
        <v>7</v>
      </c>
      <c r="BA500" s="23">
        <f t="shared" si="7"/>
        <v>9.4596678167087334E-2</v>
      </c>
      <c r="BB500" s="23">
        <f>IF(AND(ISNUMBER(H500),Metadata!$H$5&gt;Metadata!$G$5),MAX(Metadata!$G$5-H500,0,H500-Metadata!$H$5)/(Metadata!$H$5-Metadata!$G$5),"Missing input")</f>
        <v>9.4596678167087334E-2</v>
      </c>
      <c r="BC500" s="23">
        <f>IF(AND(ISNUMBER(L500),Metadata!$H$8&gt;Metadata!$G$8),MAX(Metadata!$G$8-L500,0,L500-Metadata!$H$8)/(Metadata!$H$8-Metadata!$G$8),"Missing input")</f>
        <v>0</v>
      </c>
    </row>
    <row r="501" spans="1:55" x14ac:dyDescent="0.2">
      <c r="A501" t="s">
        <v>591</v>
      </c>
      <c r="B501" t="s">
        <v>572</v>
      </c>
      <c r="C501" t="s">
        <v>466</v>
      </c>
      <c r="D501" t="s">
        <v>55</v>
      </c>
      <c r="E501" t="s">
        <v>467</v>
      </c>
      <c r="F501">
        <v>20</v>
      </c>
      <c r="G501">
        <v>53.035991243371583</v>
      </c>
      <c r="H501">
        <v>30.34654288470276</v>
      </c>
      <c r="I501">
        <v>1.17</v>
      </c>
      <c r="J501">
        <v>0.8</v>
      </c>
      <c r="K501">
        <v>0.54</v>
      </c>
      <c r="L501">
        <v>0.25</v>
      </c>
      <c r="N501">
        <v>125</v>
      </c>
      <c r="O501">
        <v>12</v>
      </c>
      <c r="P501">
        <v>6</v>
      </c>
      <c r="Q501">
        <v>0.53616514621265798</v>
      </c>
      <c r="R501">
        <v>4782098.2730990862</v>
      </c>
      <c r="S501">
        <v>-5.3451342647415868E-3</v>
      </c>
      <c r="T501">
        <v>2064.392118408005</v>
      </c>
      <c r="U501">
        <v>800.59853302729891</v>
      </c>
      <c r="V501">
        <v>456.72392000177121</v>
      </c>
      <c r="W501">
        <v>1.7529157067669989</v>
      </c>
      <c r="X501" t="s">
        <v>57</v>
      </c>
      <c r="Y501">
        <v>8</v>
      </c>
      <c r="Z501">
        <v>988.62199999999996</v>
      </c>
      <c r="AA501">
        <v>95.163399999999996</v>
      </c>
      <c r="AB501">
        <v>37.305400000000013</v>
      </c>
      <c r="AC501">
        <v>14.87206777464066</v>
      </c>
      <c r="AD501">
        <v>41.432620759365101</v>
      </c>
      <c r="AE501">
        <v>41.432620759365101</v>
      </c>
      <c r="AF501" t="s">
        <v>58</v>
      </c>
      <c r="AG501" t="b">
        <v>1</v>
      </c>
      <c r="AH501">
        <v>2.785935445373279</v>
      </c>
      <c r="AI501">
        <v>985.50400000000002</v>
      </c>
      <c r="AJ501">
        <v>91.310100000000006</v>
      </c>
      <c r="AK501">
        <v>37.0047</v>
      </c>
      <c r="AL501">
        <v>14.349044532554259</v>
      </c>
      <c r="AM501">
        <v>40.201927676258038</v>
      </c>
      <c r="AN501">
        <v>40.201927676258038</v>
      </c>
      <c r="AO501" t="s">
        <v>58</v>
      </c>
      <c r="AP501" t="b">
        <v>1</v>
      </c>
      <c r="AQ501">
        <v>2.8017146078995219</v>
      </c>
      <c r="AR501">
        <v>988.62199999999996</v>
      </c>
      <c r="AS501">
        <v>41.432620759365101</v>
      </c>
      <c r="AT501">
        <v>2.8017146078995219</v>
      </c>
      <c r="AU501" s="5">
        <v>30.950167707245729</v>
      </c>
      <c r="AV501" s="5">
        <v>44.208606350242562</v>
      </c>
      <c r="AW501" s="5">
        <v>2.092880812100943</v>
      </c>
      <c r="AX501" s="5">
        <v>2.9894294866287896</v>
      </c>
      <c r="AY501" t="s">
        <v>59</v>
      </c>
      <c r="AZ501" t="s">
        <v>60</v>
      </c>
      <c r="BA501" s="23">
        <f t="shared" si="7"/>
        <v>0</v>
      </c>
      <c r="BB501" s="23">
        <f>IF(AND(ISNUMBER(H501),Metadata!$H$5&gt;Metadata!$G$5),MAX(Metadata!$G$5-H501,0,H501-Metadata!$H$5)/(Metadata!$H$5-Metadata!$G$5),"Missing input")</f>
        <v>0</v>
      </c>
      <c r="BC501" s="23">
        <f>IF(AND(ISNUMBER(L501),Metadata!$H$8&gt;Metadata!$G$8),MAX(Metadata!$G$8-L501,0,L501-Metadata!$H$8)/(Metadata!$H$8-Metadata!$G$8),"Missing input")</f>
        <v>0</v>
      </c>
    </row>
    <row r="502" spans="1:55" x14ac:dyDescent="0.2">
      <c r="A502" t="s">
        <v>592</v>
      </c>
      <c r="B502" t="s">
        <v>593</v>
      </c>
      <c r="C502" t="s">
        <v>466</v>
      </c>
      <c r="D502" t="s">
        <v>55</v>
      </c>
      <c r="E502" t="s">
        <v>467</v>
      </c>
      <c r="F502">
        <v>1</v>
      </c>
      <c r="G502">
        <v>22.11413992487228</v>
      </c>
      <c r="H502">
        <v>28.832065765515338</v>
      </c>
      <c r="I502">
        <v>0.82</v>
      </c>
      <c r="J502">
        <v>0.6</v>
      </c>
      <c r="K502">
        <v>0.54</v>
      </c>
      <c r="L502">
        <v>0.25</v>
      </c>
      <c r="N502">
        <v>125</v>
      </c>
      <c r="O502">
        <v>10</v>
      </c>
      <c r="P502">
        <v>6</v>
      </c>
      <c r="Q502">
        <v>0.53616514621265798</v>
      </c>
      <c r="R502">
        <v>1866510.334985178</v>
      </c>
      <c r="S502">
        <v>-4.8965296228194732E-3</v>
      </c>
      <c r="T502">
        <v>826.08687358173506</v>
      </c>
      <c r="U502">
        <v>672.06023102885479</v>
      </c>
      <c r="V502">
        <v>182.7625826508264</v>
      </c>
      <c r="W502">
        <v>3.6772309806589178</v>
      </c>
      <c r="X502" t="s">
        <v>57</v>
      </c>
      <c r="Y502">
        <v>8</v>
      </c>
      <c r="Z502">
        <v>479.84399999999999</v>
      </c>
      <c r="AA502">
        <v>95.163399999999996</v>
      </c>
      <c r="AB502">
        <v>34.534999999999997</v>
      </c>
      <c r="AC502">
        <v>13.76701822429906</v>
      </c>
      <c r="AD502">
        <v>39.272535047378391</v>
      </c>
      <c r="AE502">
        <v>39.272535047378391</v>
      </c>
      <c r="AF502" t="s">
        <v>58</v>
      </c>
      <c r="AG502" t="b">
        <v>1</v>
      </c>
      <c r="AH502">
        <v>2.8526536689013442</v>
      </c>
      <c r="AI502">
        <v>476.298</v>
      </c>
      <c r="AJ502">
        <v>91.310100000000006</v>
      </c>
      <c r="AK502">
        <v>32.289299999999997</v>
      </c>
      <c r="AL502">
        <v>13.176468080068879</v>
      </c>
      <c r="AM502">
        <v>39.531751825353808</v>
      </c>
      <c r="AN502">
        <v>39.531751825353808</v>
      </c>
      <c r="AO502" t="s">
        <v>58</v>
      </c>
      <c r="AP502" t="b">
        <v>1</v>
      </c>
      <c r="AQ502">
        <v>3.0001781649781201</v>
      </c>
      <c r="AR502">
        <v>479.84399999999999</v>
      </c>
      <c r="AS502">
        <v>39.531751825353808</v>
      </c>
      <c r="AT502">
        <v>3.0001781649781201</v>
      </c>
      <c r="AU502" s="5">
        <v>29.530218613539294</v>
      </c>
      <c r="AV502" s="5">
        <v>42.180379197652513</v>
      </c>
      <c r="AW502" s="5">
        <v>2.2411330892386556</v>
      </c>
      <c r="AX502" s="5">
        <v>3.2011901020316538</v>
      </c>
      <c r="AY502" t="s">
        <v>59</v>
      </c>
      <c r="AZ502" t="s">
        <v>60</v>
      </c>
      <c r="BA502" s="23">
        <f t="shared" si="7"/>
        <v>0</v>
      </c>
      <c r="BB502" s="23">
        <f>IF(AND(ISNUMBER(H502),Metadata!$H$5&gt;Metadata!$G$5),MAX(Metadata!$G$5-H502,0,H502-Metadata!$H$5)/(Metadata!$H$5-Metadata!$G$5),"Missing input")</f>
        <v>0</v>
      </c>
      <c r="BC502" s="23">
        <f>IF(AND(ISNUMBER(L502),Metadata!$H$8&gt;Metadata!$G$8),MAX(Metadata!$G$8-L502,0,L502-Metadata!$H$8)/(Metadata!$H$8-Metadata!$G$8),"Missing input")</f>
        <v>0</v>
      </c>
    </row>
    <row r="503" spans="1:55" x14ac:dyDescent="0.2">
      <c r="A503" t="s">
        <v>594</v>
      </c>
      <c r="B503" t="s">
        <v>593</v>
      </c>
      <c r="C503" t="s">
        <v>466</v>
      </c>
      <c r="D503" t="s">
        <v>55</v>
      </c>
      <c r="E503" t="s">
        <v>467</v>
      </c>
      <c r="F503">
        <v>2</v>
      </c>
      <c r="G503">
        <v>39.289372610104301</v>
      </c>
      <c r="H503">
        <v>11.43599740060767</v>
      </c>
      <c r="I503">
        <v>0.82</v>
      </c>
      <c r="J503">
        <v>0.6</v>
      </c>
      <c r="K503">
        <v>0.54</v>
      </c>
      <c r="L503">
        <v>0.25</v>
      </c>
      <c r="N503">
        <v>125</v>
      </c>
      <c r="O503">
        <v>10</v>
      </c>
      <c r="P503">
        <v>6</v>
      </c>
      <c r="Q503">
        <v>0.53616514621265798</v>
      </c>
      <c r="R503">
        <v>1301660.814121977</v>
      </c>
      <c r="S503">
        <v>-3.1551302843590978E-3</v>
      </c>
      <c r="T503">
        <v>574.46599981461486</v>
      </c>
      <c r="U503">
        <v>750.05745558684532</v>
      </c>
      <c r="V503">
        <v>127.0942477465962</v>
      </c>
      <c r="W503">
        <v>5.9015846026511687</v>
      </c>
      <c r="X503" t="s">
        <v>57</v>
      </c>
      <c r="Y503">
        <v>8</v>
      </c>
      <c r="Z503">
        <v>502.65300000000002</v>
      </c>
      <c r="AA503">
        <v>95.163399999999996</v>
      </c>
      <c r="AB503">
        <v>51.296399999999998</v>
      </c>
      <c r="AC503">
        <v>14.103473258706471</v>
      </c>
      <c r="AD503">
        <v>90.299067373394351</v>
      </c>
      <c r="AE503">
        <v>90.299067373394351</v>
      </c>
      <c r="AF503" t="s">
        <v>58</v>
      </c>
      <c r="AG503" t="b">
        <v>1</v>
      </c>
      <c r="AH503">
        <v>6.4026120174085639</v>
      </c>
      <c r="AI503">
        <v>498.983</v>
      </c>
      <c r="AJ503">
        <v>91.310100000000006</v>
      </c>
      <c r="AK503">
        <v>51.757599999999996</v>
      </c>
      <c r="AL503">
        <v>13.658425907990321</v>
      </c>
      <c r="AM503">
        <v>89.94987461343662</v>
      </c>
      <c r="AN503">
        <v>89.94987461343662</v>
      </c>
      <c r="AO503" t="s">
        <v>58</v>
      </c>
      <c r="AP503" t="b">
        <v>1</v>
      </c>
      <c r="AQ503">
        <v>6.5856691846763269</v>
      </c>
      <c r="AR503">
        <v>502.65300000000002</v>
      </c>
      <c r="AS503">
        <v>90.299067373394351</v>
      </c>
      <c r="AT503">
        <v>6.5856691846763269</v>
      </c>
      <c r="AU503" s="5">
        <v>67.453403327925585</v>
      </c>
      <c r="AV503" s="5">
        <v>96.349104887411769</v>
      </c>
      <c r="AW503" s="5">
        <v>4.9194948809532164</v>
      </c>
      <c r="AX503" s="5">
        <v>7.02690902004964</v>
      </c>
      <c r="AY503" t="s">
        <v>59</v>
      </c>
      <c r="AZ503" t="s">
        <v>60</v>
      </c>
      <c r="BA503" s="23">
        <f t="shared" si="7"/>
        <v>0</v>
      </c>
      <c r="BB503" s="23">
        <f>IF(AND(ISNUMBER(H503),Metadata!$H$5&gt;Metadata!$G$5),MAX(Metadata!$G$5-H503,0,H503-Metadata!$H$5)/(Metadata!$H$5-Metadata!$G$5),"Missing input")</f>
        <v>0</v>
      </c>
      <c r="BC503" s="23">
        <f>IF(AND(ISNUMBER(L503),Metadata!$H$8&gt;Metadata!$G$8),MAX(Metadata!$G$8-L503,0,L503-Metadata!$H$8)/(Metadata!$H$8-Metadata!$G$8),"Missing input")</f>
        <v>0</v>
      </c>
    </row>
    <row r="504" spans="1:55" x14ac:dyDescent="0.2">
      <c r="A504" t="s">
        <v>595</v>
      </c>
      <c r="B504" t="s">
        <v>593</v>
      </c>
      <c r="C504" t="s">
        <v>466</v>
      </c>
      <c r="D504" t="s">
        <v>55</v>
      </c>
      <c r="E504" t="s">
        <v>467</v>
      </c>
      <c r="F504">
        <v>3</v>
      </c>
      <c r="G504">
        <v>50.720967279676117</v>
      </c>
      <c r="H504">
        <v>41.572102032205443</v>
      </c>
      <c r="I504">
        <v>0.82</v>
      </c>
      <c r="J504">
        <v>0.6</v>
      </c>
      <c r="K504">
        <v>0.54</v>
      </c>
      <c r="L504">
        <v>0.25</v>
      </c>
      <c r="N504">
        <v>125</v>
      </c>
      <c r="O504">
        <v>10</v>
      </c>
      <c r="P504">
        <v>6</v>
      </c>
      <c r="Q504">
        <v>0.53616514621265798</v>
      </c>
      <c r="R504">
        <v>6279453.0057685468</v>
      </c>
      <c r="S504">
        <v>-5.134024031023806E-3</v>
      </c>
      <c r="T504">
        <v>2693.2611829617858</v>
      </c>
      <c r="U504">
        <v>792.59154081609961</v>
      </c>
      <c r="V504">
        <v>595.85424401809428</v>
      </c>
      <c r="W504">
        <v>1.3301768826404989</v>
      </c>
      <c r="X504" t="s">
        <v>57</v>
      </c>
      <c r="Y504">
        <v>8</v>
      </c>
      <c r="Z504">
        <v>956.38900000000001</v>
      </c>
      <c r="AA504">
        <v>95.163399999999996</v>
      </c>
      <c r="AB504">
        <v>26.727599999999999</v>
      </c>
      <c r="AC504">
        <v>12.63281882267442</v>
      </c>
      <c r="AD504">
        <v>28.06018660939894</v>
      </c>
      <c r="AE504">
        <v>28.06018660939894</v>
      </c>
      <c r="AF504" t="s">
        <v>58</v>
      </c>
      <c r="AG504" t="b">
        <v>1</v>
      </c>
      <c r="AH504">
        <v>2.221213412721017</v>
      </c>
      <c r="AI504">
        <v>960.01900000000001</v>
      </c>
      <c r="AJ504">
        <v>91.310100000000006</v>
      </c>
      <c r="AK504">
        <v>27.573699999999999</v>
      </c>
      <c r="AL504">
        <v>11.73149011703511</v>
      </c>
      <c r="AM504">
        <v>28.926066501458081</v>
      </c>
      <c r="AN504">
        <v>28.926066501458081</v>
      </c>
      <c r="AO504" t="s">
        <v>58</v>
      </c>
      <c r="AP504" t="b">
        <v>1</v>
      </c>
      <c r="AQ504">
        <v>2.4656770975287281</v>
      </c>
      <c r="AR504">
        <v>960.01900000000001</v>
      </c>
      <c r="AS504">
        <v>28.926066501458081</v>
      </c>
      <c r="AT504">
        <v>2.4656770975287281</v>
      </c>
      <c r="AU504" s="5">
        <v>21.607771676589188</v>
      </c>
      <c r="AV504" s="5">
        <v>30.86411295705577</v>
      </c>
      <c r="AW504" s="5">
        <v>1.8418607918539598</v>
      </c>
      <c r="AX504" s="5">
        <v>2.6308774630631526</v>
      </c>
      <c r="AY504" t="s">
        <v>64</v>
      </c>
      <c r="AZ504" t="s">
        <v>7</v>
      </c>
      <c r="BA504" s="23">
        <f t="shared" si="7"/>
        <v>4.6063612035701466E-2</v>
      </c>
      <c r="BB504" s="23">
        <f>IF(AND(ISNUMBER(H504),Metadata!$H$5&gt;Metadata!$G$5),MAX(Metadata!$G$5-H504,0,H504-Metadata!$H$5)/(Metadata!$H$5-Metadata!$G$5),"Missing input")</f>
        <v>4.6063612035701466E-2</v>
      </c>
      <c r="BC504" s="23">
        <f>IF(AND(ISNUMBER(L504),Metadata!$H$8&gt;Metadata!$G$8),MAX(Metadata!$G$8-L504,0,L504-Metadata!$H$8)/(Metadata!$H$8-Metadata!$G$8),"Missing input")</f>
        <v>0</v>
      </c>
    </row>
    <row r="505" spans="1:55" x14ac:dyDescent="0.2">
      <c r="A505" t="s">
        <v>596</v>
      </c>
      <c r="B505" t="s">
        <v>593</v>
      </c>
      <c r="C505" t="s">
        <v>466</v>
      </c>
      <c r="D505" t="s">
        <v>55</v>
      </c>
      <c r="E505" t="s">
        <v>467</v>
      </c>
      <c r="F505">
        <v>4</v>
      </c>
      <c r="G505">
        <v>40.065365059576777</v>
      </c>
      <c r="H505">
        <v>25.23064360495534</v>
      </c>
      <c r="I505">
        <v>0.82</v>
      </c>
      <c r="J505">
        <v>0.6</v>
      </c>
      <c r="K505">
        <v>0.54</v>
      </c>
      <c r="L505">
        <v>0.25</v>
      </c>
      <c r="N505">
        <v>125</v>
      </c>
      <c r="O505">
        <v>10</v>
      </c>
      <c r="P505">
        <v>6</v>
      </c>
      <c r="Q505">
        <v>0.53616514621265798</v>
      </c>
      <c r="R505">
        <v>2986346.165161836</v>
      </c>
      <c r="S505">
        <v>-4.666369278087122E-3</v>
      </c>
      <c r="T505">
        <v>1217.321391370202</v>
      </c>
      <c r="U505">
        <v>753.12627800274458</v>
      </c>
      <c r="V505">
        <v>269.31889189606238</v>
      </c>
      <c r="W505">
        <v>2.7964108744862828</v>
      </c>
      <c r="X505" t="s">
        <v>57</v>
      </c>
      <c r="Y505">
        <v>8</v>
      </c>
      <c r="Z505">
        <v>710.54899999999998</v>
      </c>
      <c r="AA505">
        <v>95.163399999999996</v>
      </c>
      <c r="AB505">
        <v>37.809100000000001</v>
      </c>
      <c r="AC505">
        <v>13.68568983097056</v>
      </c>
      <c r="AD505">
        <v>45.016316271826497</v>
      </c>
      <c r="AE505">
        <v>45.016316271826497</v>
      </c>
      <c r="AF505" t="s">
        <v>58</v>
      </c>
      <c r="AG505" t="b">
        <v>1</v>
      </c>
      <c r="AH505">
        <v>3.2892982982819841</v>
      </c>
      <c r="AI505">
        <v>710.32899999999995</v>
      </c>
      <c r="AJ505">
        <v>91.310100000000006</v>
      </c>
      <c r="AK505">
        <v>38.574199999999998</v>
      </c>
      <c r="AL505">
        <v>13.469656771617959</v>
      </c>
      <c r="AM505">
        <v>45.361751888544553</v>
      </c>
      <c r="AN505">
        <v>45.361751888544553</v>
      </c>
      <c r="AO505" t="s">
        <v>58</v>
      </c>
      <c r="AP505" t="b">
        <v>1</v>
      </c>
      <c r="AQ505">
        <v>3.36769916692508</v>
      </c>
      <c r="AR505">
        <v>710.54899999999998</v>
      </c>
      <c r="AS505">
        <v>45.361751888544553</v>
      </c>
      <c r="AT505">
        <v>3.36769916692508</v>
      </c>
      <c r="AU505" s="5">
        <v>33.885228660742783</v>
      </c>
      <c r="AV505" s="5">
        <v>48.400989265077037</v>
      </c>
      <c r="AW505" s="5">
        <v>2.5156712776930346</v>
      </c>
      <c r="AX505" s="5">
        <v>3.5933350111090601</v>
      </c>
      <c r="AY505" t="s">
        <v>59</v>
      </c>
      <c r="AZ505" t="s">
        <v>60</v>
      </c>
      <c r="BA505" s="23">
        <f t="shared" si="7"/>
        <v>0</v>
      </c>
      <c r="BB505" s="23">
        <f>IF(AND(ISNUMBER(H505),Metadata!$H$5&gt;Metadata!$G$5),MAX(Metadata!$G$5-H505,0,H505-Metadata!$H$5)/(Metadata!$H$5-Metadata!$G$5),"Missing input")</f>
        <v>0</v>
      </c>
      <c r="BC505" s="23">
        <f>IF(AND(ISNUMBER(L505),Metadata!$H$8&gt;Metadata!$G$8),MAX(Metadata!$G$8-L505,0,L505-Metadata!$H$8)/(Metadata!$H$8-Metadata!$G$8),"Missing input")</f>
        <v>0</v>
      </c>
    </row>
    <row r="506" spans="1:55" x14ac:dyDescent="0.2">
      <c r="A506" t="s">
        <v>597</v>
      </c>
      <c r="B506" t="s">
        <v>593</v>
      </c>
      <c r="C506" t="s">
        <v>466</v>
      </c>
      <c r="D506" t="s">
        <v>55</v>
      </c>
      <c r="E506" t="s">
        <v>467</v>
      </c>
      <c r="F506">
        <v>5</v>
      </c>
      <c r="G506">
        <v>44.691650234033148</v>
      </c>
      <c r="H506">
        <v>35.278860063057749</v>
      </c>
      <c r="I506">
        <v>0.82</v>
      </c>
      <c r="J506">
        <v>0.6</v>
      </c>
      <c r="K506">
        <v>0.54</v>
      </c>
      <c r="L506">
        <v>0.25</v>
      </c>
      <c r="N506">
        <v>125</v>
      </c>
      <c r="O506">
        <v>10</v>
      </c>
      <c r="P506">
        <v>6</v>
      </c>
      <c r="Q506">
        <v>0.53616514621265798</v>
      </c>
      <c r="R506">
        <v>4683732.748780732</v>
      </c>
      <c r="S506">
        <v>-5.1182181259793891E-3</v>
      </c>
      <c r="T506">
        <v>1958.040305211005</v>
      </c>
      <c r="U506">
        <v>770.83560231362162</v>
      </c>
      <c r="V506">
        <v>433.19475779004551</v>
      </c>
      <c r="W506">
        <v>1.779420430307282</v>
      </c>
      <c r="X506" t="s">
        <v>57</v>
      </c>
      <c r="Y506">
        <v>8</v>
      </c>
      <c r="Z506">
        <v>844.43799999999999</v>
      </c>
      <c r="AA506">
        <v>95.163399999999996</v>
      </c>
      <c r="AB506">
        <v>30.757200000000001</v>
      </c>
      <c r="AC506">
        <v>12.909487041884811</v>
      </c>
      <c r="AD506">
        <v>33.116034188644669</v>
      </c>
      <c r="AE506">
        <v>33.116034188644669</v>
      </c>
      <c r="AF506" t="s">
        <v>58</v>
      </c>
      <c r="AG506" t="b">
        <v>1</v>
      </c>
      <c r="AH506">
        <v>2.5652478740014799</v>
      </c>
      <c r="AI506">
        <v>848.29</v>
      </c>
      <c r="AJ506">
        <v>91.310100000000006</v>
      </c>
      <c r="AK506">
        <v>31.217600000000001</v>
      </c>
      <c r="AL506">
        <v>12.41073244738555</v>
      </c>
      <c r="AM506">
        <v>32.639293695055997</v>
      </c>
      <c r="AN506">
        <v>32.639293695055997</v>
      </c>
      <c r="AO506" t="s">
        <v>58</v>
      </c>
      <c r="AP506" t="b">
        <v>1</v>
      </c>
      <c r="AQ506">
        <v>2.629924852012405</v>
      </c>
      <c r="AR506">
        <v>848.29</v>
      </c>
      <c r="AS506">
        <v>33.116034188644669</v>
      </c>
      <c r="AT506">
        <v>2.629924852012405</v>
      </c>
      <c r="AU506" s="5">
        <v>24.737677538917566</v>
      </c>
      <c r="AV506" s="5">
        <v>35.334808479283858</v>
      </c>
      <c r="AW506" s="5">
        <v>1.9645538644532665</v>
      </c>
      <c r="AX506" s="5">
        <v>2.806129817097236</v>
      </c>
      <c r="AY506" t="s">
        <v>59</v>
      </c>
      <c r="AZ506" t="s">
        <v>60</v>
      </c>
      <c r="BA506" s="23">
        <f t="shared" si="7"/>
        <v>0</v>
      </c>
      <c r="BB506" s="23">
        <f>IF(AND(ISNUMBER(H506),Metadata!$H$5&gt;Metadata!$G$5),MAX(Metadata!$G$5-H506,0,H506-Metadata!$H$5)/(Metadata!$H$5-Metadata!$G$5),"Missing input")</f>
        <v>0</v>
      </c>
      <c r="BC506" s="23">
        <f>IF(AND(ISNUMBER(L506),Metadata!$H$8&gt;Metadata!$G$8),MAX(Metadata!$G$8-L506,0,L506-Metadata!$H$8)/(Metadata!$H$8-Metadata!$G$8),"Missing input")</f>
        <v>0</v>
      </c>
    </row>
    <row r="507" spans="1:55" x14ac:dyDescent="0.2">
      <c r="A507" t="s">
        <v>598</v>
      </c>
      <c r="B507" t="s">
        <v>593</v>
      </c>
      <c r="C507" t="s">
        <v>466</v>
      </c>
      <c r="D507" t="s">
        <v>55</v>
      </c>
      <c r="E507" t="s">
        <v>467</v>
      </c>
      <c r="F507">
        <v>6</v>
      </c>
      <c r="G507">
        <v>33.086500490231572</v>
      </c>
      <c r="H507">
        <v>19.79580616436397</v>
      </c>
      <c r="I507">
        <v>0.82</v>
      </c>
      <c r="J507">
        <v>0.6</v>
      </c>
      <c r="K507">
        <v>0.54</v>
      </c>
      <c r="L507">
        <v>0.25</v>
      </c>
      <c r="N507">
        <v>125</v>
      </c>
      <c r="O507">
        <v>10</v>
      </c>
      <c r="P507">
        <v>6</v>
      </c>
      <c r="Q507">
        <v>0.53616514621265798</v>
      </c>
      <c r="R507">
        <v>1918643.176085273</v>
      </c>
      <c r="S507">
        <v>-4.1705755300736518E-3</v>
      </c>
      <c r="T507">
        <v>808.21862217355283</v>
      </c>
      <c r="U507">
        <v>724.34809556380162</v>
      </c>
      <c r="V507">
        <v>178.80942968441431</v>
      </c>
      <c r="W507">
        <v>4.0509502034776554</v>
      </c>
      <c r="X507" t="s">
        <v>57</v>
      </c>
      <c r="Y507">
        <v>8</v>
      </c>
      <c r="Z507">
        <v>566.50400000000002</v>
      </c>
      <c r="AA507">
        <v>95.163399999999996</v>
      </c>
      <c r="AB507">
        <v>43.415999999999997</v>
      </c>
      <c r="AC507">
        <v>14.128621533364891</v>
      </c>
      <c r="AD507">
        <v>58.069806713862206</v>
      </c>
      <c r="AE507">
        <v>58.069806713862206</v>
      </c>
      <c r="AF507" t="s">
        <v>58</v>
      </c>
      <c r="AG507" t="b">
        <v>1</v>
      </c>
      <c r="AH507">
        <v>4.1100829671691441</v>
      </c>
      <c r="AI507">
        <v>563.32799999999997</v>
      </c>
      <c r="AJ507">
        <v>91.310100000000006</v>
      </c>
      <c r="AK507">
        <v>39.358900000000013</v>
      </c>
      <c r="AL507">
        <v>13.76099216757741</v>
      </c>
      <c r="AM507">
        <v>56.642701154776297</v>
      </c>
      <c r="AN507">
        <v>56.642701154776297</v>
      </c>
      <c r="AO507" t="s">
        <v>58</v>
      </c>
      <c r="AP507" t="b">
        <v>1</v>
      </c>
      <c r="AQ507">
        <v>4.1161785767332582</v>
      </c>
      <c r="AR507">
        <v>566.50400000000002</v>
      </c>
      <c r="AS507">
        <v>58.069806713862206</v>
      </c>
      <c r="AT507">
        <v>4.1161785767332582</v>
      </c>
      <c r="AU507" s="5">
        <v>43.378145615255065</v>
      </c>
      <c r="AV507" s="5">
        <v>61.960483763690974</v>
      </c>
      <c r="AW507" s="5">
        <v>3.0747853968197436</v>
      </c>
      <c r="AX507" s="5">
        <v>4.3919625413743866</v>
      </c>
      <c r="AY507" t="s">
        <v>59</v>
      </c>
      <c r="AZ507" t="s">
        <v>60</v>
      </c>
      <c r="BA507" s="23">
        <f t="shared" si="7"/>
        <v>0</v>
      </c>
      <c r="BB507" s="23">
        <f>IF(AND(ISNUMBER(H507),Metadata!$H$5&gt;Metadata!$G$5),MAX(Metadata!$G$5-H507,0,H507-Metadata!$H$5)/(Metadata!$H$5-Metadata!$G$5),"Missing input")</f>
        <v>0</v>
      </c>
      <c r="BC507" s="23">
        <f>IF(AND(ISNUMBER(L507),Metadata!$H$8&gt;Metadata!$G$8),MAX(Metadata!$G$8-L507,0,L507-Metadata!$H$8)/(Metadata!$H$8-Metadata!$G$8),"Missing input")</f>
        <v>0</v>
      </c>
    </row>
    <row r="508" spans="1:55" x14ac:dyDescent="0.2">
      <c r="A508" t="s">
        <v>599</v>
      </c>
      <c r="B508" t="s">
        <v>593</v>
      </c>
      <c r="C508" t="s">
        <v>466</v>
      </c>
      <c r="D508" t="s">
        <v>55</v>
      </c>
      <c r="E508" t="s">
        <v>467</v>
      </c>
      <c r="F508">
        <v>7</v>
      </c>
      <c r="G508">
        <v>42.943727860216583</v>
      </c>
      <c r="H508">
        <v>31.604415760045629</v>
      </c>
      <c r="I508">
        <v>0.82</v>
      </c>
      <c r="J508">
        <v>0.6</v>
      </c>
      <c r="K508">
        <v>0.54</v>
      </c>
      <c r="L508">
        <v>0.25</v>
      </c>
      <c r="N508">
        <v>125</v>
      </c>
      <c r="O508">
        <v>10</v>
      </c>
      <c r="P508">
        <v>6</v>
      </c>
      <c r="Q508">
        <v>0.53616514621265798</v>
      </c>
      <c r="R508">
        <v>4025355.613741619</v>
      </c>
      <c r="S508">
        <v>-5.0203110474752602E-3</v>
      </c>
      <c r="T508">
        <v>1662.4085351544279</v>
      </c>
      <c r="U508">
        <v>764.25751687900618</v>
      </c>
      <c r="V508">
        <v>367.7894989279709</v>
      </c>
      <c r="W508">
        <v>2.0779753611961631</v>
      </c>
      <c r="X508" t="s">
        <v>57</v>
      </c>
      <c r="Y508">
        <v>8</v>
      </c>
      <c r="Z508">
        <v>801.14</v>
      </c>
      <c r="AA508">
        <v>95.163399999999996</v>
      </c>
      <c r="AB508">
        <v>33.5276</v>
      </c>
      <c r="AC508">
        <v>13.26121669137267</v>
      </c>
      <c r="AD508">
        <v>37.147943096083957</v>
      </c>
      <c r="AE508">
        <v>37.147943096083957</v>
      </c>
      <c r="AF508" t="s">
        <v>58</v>
      </c>
      <c r="AG508" t="b">
        <v>1</v>
      </c>
      <c r="AH508">
        <v>2.801246971573224</v>
      </c>
      <c r="AI508">
        <v>798.13199999999995</v>
      </c>
      <c r="AJ508">
        <v>91.310100000000006</v>
      </c>
      <c r="AK508">
        <v>32.289299999999997</v>
      </c>
      <c r="AL508">
        <v>12.662926827503011</v>
      </c>
      <c r="AM508">
        <v>36.833216633508741</v>
      </c>
      <c r="AN508">
        <v>36.833216633508741</v>
      </c>
      <c r="AO508" t="s">
        <v>58</v>
      </c>
      <c r="AP508" t="b">
        <v>1</v>
      </c>
      <c r="AQ508">
        <v>2.9087443318008841</v>
      </c>
      <c r="AR508">
        <v>801.14</v>
      </c>
      <c r="AS508">
        <v>37.147943096083957</v>
      </c>
      <c r="AT508">
        <v>2.9087443318008841</v>
      </c>
      <c r="AU508" s="5">
        <v>27.749513492774714</v>
      </c>
      <c r="AV508" s="5">
        <v>39.636855283521577</v>
      </c>
      <c r="AW508" s="5">
        <v>2.1728320158552603</v>
      </c>
      <c r="AX508" s="5">
        <v>3.1036302020315434</v>
      </c>
      <c r="AY508" t="s">
        <v>59</v>
      </c>
      <c r="AZ508" t="s">
        <v>60</v>
      </c>
      <c r="BA508" s="23">
        <f t="shared" si="7"/>
        <v>0</v>
      </c>
      <c r="BB508" s="23">
        <f>IF(AND(ISNUMBER(H508),Metadata!$H$5&gt;Metadata!$G$5),MAX(Metadata!$G$5-H508,0,H508-Metadata!$H$5)/(Metadata!$H$5-Metadata!$G$5),"Missing input")</f>
        <v>0</v>
      </c>
      <c r="BC508" s="23">
        <f>IF(AND(ISNUMBER(L508),Metadata!$H$8&gt;Metadata!$G$8),MAX(Metadata!$G$8-L508,0,L508-Metadata!$H$8)/(Metadata!$H$8-Metadata!$G$8),"Missing input")</f>
        <v>0</v>
      </c>
    </row>
    <row r="509" spans="1:55" x14ac:dyDescent="0.2">
      <c r="A509" t="s">
        <v>600</v>
      </c>
      <c r="B509" t="s">
        <v>593</v>
      </c>
      <c r="C509" t="s">
        <v>466</v>
      </c>
      <c r="D509" t="s">
        <v>55</v>
      </c>
      <c r="E509" t="s">
        <v>467</v>
      </c>
      <c r="F509">
        <v>8</v>
      </c>
      <c r="G509">
        <v>29.155454969686971</v>
      </c>
      <c r="H509">
        <v>7.3398505058277053</v>
      </c>
      <c r="I509">
        <v>0.82</v>
      </c>
      <c r="J509">
        <v>0.6</v>
      </c>
      <c r="K509">
        <v>0.54</v>
      </c>
      <c r="L509">
        <v>0.25</v>
      </c>
      <c r="N509">
        <v>125</v>
      </c>
      <c r="O509">
        <v>10</v>
      </c>
      <c r="P509">
        <v>6</v>
      </c>
      <c r="Q509">
        <v>0.53616514621265798</v>
      </c>
      <c r="R509">
        <v>595711.36772068124</v>
      </c>
      <c r="S509">
        <v>-2.6299674175446421E-3</v>
      </c>
      <c r="T509">
        <v>373.40701152109853</v>
      </c>
      <c r="U509">
        <v>706.7858992589853</v>
      </c>
      <c r="V509">
        <v>82.612170690508535</v>
      </c>
      <c r="W509">
        <v>8.5554694102740623</v>
      </c>
      <c r="X509" t="s">
        <v>57</v>
      </c>
      <c r="Y509">
        <v>8</v>
      </c>
      <c r="Z509">
        <v>365.339</v>
      </c>
      <c r="AA509">
        <v>95.163399999999996</v>
      </c>
      <c r="AB509">
        <v>51.296399999999998</v>
      </c>
      <c r="AC509">
        <v>15.187096447215779</v>
      </c>
      <c r="AE509">
        <v>95.163399999999996</v>
      </c>
      <c r="AF509" t="s">
        <v>62</v>
      </c>
      <c r="AG509" t="b">
        <v>0</v>
      </c>
      <c r="AH509">
        <v>6.2660693787485702</v>
      </c>
      <c r="AI509">
        <v>362.05900000000003</v>
      </c>
      <c r="AJ509">
        <v>91.310100000000006</v>
      </c>
      <c r="AK509">
        <v>61.372599999999998</v>
      </c>
      <c r="AL509">
        <v>14.71990467425257</v>
      </c>
      <c r="AN509">
        <v>91.310100000000006</v>
      </c>
      <c r="AO509" t="s">
        <v>62</v>
      </c>
      <c r="AP509" t="b">
        <v>0</v>
      </c>
      <c r="AQ509">
        <v>6.2031719648100543</v>
      </c>
      <c r="AR509">
        <v>365.339</v>
      </c>
      <c r="AS509">
        <v>95.163399999999996</v>
      </c>
      <c r="AT509">
        <v>6.2660693787485702</v>
      </c>
      <c r="AU509" s="5">
        <v>71.087059799999992</v>
      </c>
      <c r="AV509" s="5">
        <v>101.53934779999999</v>
      </c>
      <c r="AW509" s="5">
        <v>4.6807538259251817</v>
      </c>
      <c r="AX509" s="5">
        <v>6.6858960271247243</v>
      </c>
      <c r="AY509" t="s">
        <v>59</v>
      </c>
      <c r="AZ509" t="s">
        <v>60</v>
      </c>
      <c r="BA509" s="23">
        <f t="shared" si="7"/>
        <v>0</v>
      </c>
      <c r="BB509" s="23">
        <f>IF(AND(ISNUMBER(H509),Metadata!$H$5&gt;Metadata!$G$5),MAX(Metadata!$G$5-H509,0,H509-Metadata!$H$5)/(Metadata!$H$5-Metadata!$G$5),"Missing input")</f>
        <v>0</v>
      </c>
      <c r="BC509" s="23">
        <f>IF(AND(ISNUMBER(L509),Metadata!$H$8&gt;Metadata!$G$8),MAX(Metadata!$G$8-L509,0,L509-Metadata!$H$8)/(Metadata!$H$8-Metadata!$G$8),"Missing input")</f>
        <v>0</v>
      </c>
    </row>
    <row r="510" spans="1:55" x14ac:dyDescent="0.2">
      <c r="A510" t="s">
        <v>601</v>
      </c>
      <c r="B510" t="s">
        <v>593</v>
      </c>
      <c r="C510" t="s">
        <v>466</v>
      </c>
      <c r="D510" t="s">
        <v>55</v>
      </c>
      <c r="E510" t="s">
        <v>467</v>
      </c>
      <c r="F510">
        <v>9</v>
      </c>
      <c r="G510">
        <v>59.748609235827082</v>
      </c>
      <c r="H510">
        <v>37.783512331141722</v>
      </c>
      <c r="I510">
        <v>0.82</v>
      </c>
      <c r="J510">
        <v>0.6</v>
      </c>
      <c r="K510">
        <v>0.54</v>
      </c>
      <c r="L510">
        <v>0.25</v>
      </c>
      <c r="N510">
        <v>125</v>
      </c>
      <c r="O510">
        <v>10</v>
      </c>
      <c r="P510">
        <v>6</v>
      </c>
      <c r="Q510">
        <v>0.53616514621265798</v>
      </c>
      <c r="R510">
        <v>6726258.2664913209</v>
      </c>
      <c r="S510">
        <v>-5.1458058898427349E-3</v>
      </c>
      <c r="T510">
        <v>2856.6585784848312</v>
      </c>
      <c r="U510">
        <v>822.87545002106197</v>
      </c>
      <c r="V510">
        <v>632.00411028425481</v>
      </c>
      <c r="W510">
        <v>1.302009649353324</v>
      </c>
      <c r="X510" t="s">
        <v>57</v>
      </c>
      <c r="Y510">
        <v>8</v>
      </c>
      <c r="Z510">
        <v>1090.76</v>
      </c>
      <c r="AA510">
        <v>95.163399999999996</v>
      </c>
      <c r="AB510">
        <v>29.246099999999998</v>
      </c>
      <c r="AC510">
        <v>13.39057299145299</v>
      </c>
      <c r="AD510">
        <v>30.824564971471101</v>
      </c>
      <c r="AE510">
        <v>30.824564971471101</v>
      </c>
      <c r="AF510" t="s">
        <v>58</v>
      </c>
      <c r="AG510" t="b">
        <v>1</v>
      </c>
      <c r="AH510">
        <v>2.3019601171022308</v>
      </c>
      <c r="AI510">
        <v>1092.28</v>
      </c>
      <c r="AJ510">
        <v>91.310100000000006</v>
      </c>
      <c r="AK510">
        <v>29.9315</v>
      </c>
      <c r="AL510">
        <v>12.59907996901627</v>
      </c>
      <c r="AM510">
        <v>31.704833579197508</v>
      </c>
      <c r="AN510">
        <v>31.704833579197508</v>
      </c>
      <c r="AO510" t="s">
        <v>58</v>
      </c>
      <c r="AP510" t="b">
        <v>1</v>
      </c>
      <c r="AQ510">
        <v>2.5164403795488419</v>
      </c>
      <c r="AR510">
        <v>1092.28</v>
      </c>
      <c r="AS510">
        <v>31.704833579197508</v>
      </c>
      <c r="AT510">
        <v>2.5164403795488419</v>
      </c>
      <c r="AU510" s="5">
        <v>23.68351068366054</v>
      </c>
      <c r="AV510" s="5">
        <v>33.82905742900374</v>
      </c>
      <c r="AW510" s="5">
        <v>1.879780963522985</v>
      </c>
      <c r="AX510" s="5">
        <v>2.6850418849786144</v>
      </c>
      <c r="AY510" t="s">
        <v>59</v>
      </c>
      <c r="AZ510" t="s">
        <v>60</v>
      </c>
      <c r="BA510" s="23">
        <f t="shared" si="7"/>
        <v>0</v>
      </c>
      <c r="BB510" s="23">
        <f>IF(AND(ISNUMBER(H510),Metadata!$H$5&gt;Metadata!$G$5),MAX(Metadata!$G$5-H510,0,H510-Metadata!$H$5)/(Metadata!$H$5-Metadata!$G$5),"Missing input")</f>
        <v>0</v>
      </c>
      <c r="BC510" s="23">
        <f>IF(AND(ISNUMBER(L510),Metadata!$H$8&gt;Metadata!$G$8),MAX(Metadata!$G$8-L510,0,L510-Metadata!$H$8)/(Metadata!$H$8-Metadata!$G$8),"Missing input")</f>
        <v>0</v>
      </c>
    </row>
    <row r="511" spans="1:55" x14ac:dyDescent="0.2">
      <c r="A511" t="s">
        <v>602</v>
      </c>
      <c r="B511" t="s">
        <v>593</v>
      </c>
      <c r="C511" t="s">
        <v>466</v>
      </c>
      <c r="D511" t="s">
        <v>55</v>
      </c>
      <c r="E511" t="s">
        <v>467</v>
      </c>
      <c r="F511">
        <v>10</v>
      </c>
      <c r="G511">
        <v>34.746337553007109</v>
      </c>
      <c r="H511">
        <v>23.7414613202046</v>
      </c>
      <c r="I511">
        <v>0.82</v>
      </c>
      <c r="J511">
        <v>0.6</v>
      </c>
      <c r="K511">
        <v>0.54</v>
      </c>
      <c r="L511">
        <v>0.25</v>
      </c>
      <c r="N511">
        <v>125</v>
      </c>
      <c r="O511">
        <v>10</v>
      </c>
      <c r="P511">
        <v>6</v>
      </c>
      <c r="Q511">
        <v>0.53616514621265798</v>
      </c>
      <c r="R511">
        <v>2428507.8121004719</v>
      </c>
      <c r="S511">
        <v>-4.5477931188630007E-3</v>
      </c>
      <c r="T511">
        <v>1004.916406510548</v>
      </c>
      <c r="U511">
        <v>731.44834288856589</v>
      </c>
      <c r="V511">
        <v>222.3266386085283</v>
      </c>
      <c r="W511">
        <v>3.289971671710004</v>
      </c>
      <c r="X511" t="s">
        <v>57</v>
      </c>
      <c r="Y511">
        <v>8</v>
      </c>
      <c r="Z511">
        <v>625.08600000000001</v>
      </c>
      <c r="AA511">
        <v>95.163399999999996</v>
      </c>
      <c r="AB511">
        <v>37.809100000000001</v>
      </c>
      <c r="AC511">
        <v>13.786767791282481</v>
      </c>
      <c r="AD511">
        <v>47.730515738369313</v>
      </c>
      <c r="AE511">
        <v>47.730515738369313</v>
      </c>
      <c r="AF511" t="s">
        <v>58</v>
      </c>
      <c r="AG511" t="b">
        <v>1</v>
      </c>
      <c r="AH511">
        <v>3.462052633435214</v>
      </c>
      <c r="AI511">
        <v>625.72400000000005</v>
      </c>
      <c r="AJ511">
        <v>91.310100000000006</v>
      </c>
      <c r="AK511">
        <v>39.358900000000013</v>
      </c>
      <c r="AL511">
        <v>13.65684976303317</v>
      </c>
      <c r="AM511">
        <v>48.156653139320071</v>
      </c>
      <c r="AN511">
        <v>48.156653139320071</v>
      </c>
      <c r="AO511" t="s">
        <v>58</v>
      </c>
      <c r="AP511" t="b">
        <v>1</v>
      </c>
      <c r="AQ511">
        <v>3.5261904447153061</v>
      </c>
      <c r="AR511">
        <v>625.72400000000005</v>
      </c>
      <c r="AS511">
        <v>48.156653139320071</v>
      </c>
      <c r="AT511">
        <v>3.5261904447153061</v>
      </c>
      <c r="AU511" s="5">
        <v>35.973019895072092</v>
      </c>
      <c r="AV511" s="5">
        <v>51.383148899654515</v>
      </c>
      <c r="AW511" s="5">
        <v>2.6340642622023336</v>
      </c>
      <c r="AX511" s="5">
        <v>3.7624452045112315</v>
      </c>
      <c r="AY511" t="s">
        <v>59</v>
      </c>
      <c r="AZ511" t="s">
        <v>60</v>
      </c>
      <c r="BA511" s="23">
        <f t="shared" si="7"/>
        <v>0</v>
      </c>
      <c r="BB511" s="23">
        <f>IF(AND(ISNUMBER(H511),Metadata!$H$5&gt;Metadata!$G$5),MAX(Metadata!$G$5-H511,0,H511-Metadata!$H$5)/(Metadata!$H$5-Metadata!$G$5),"Missing input")</f>
        <v>0</v>
      </c>
      <c r="BC511" s="23">
        <f>IF(AND(ISNUMBER(L511),Metadata!$H$8&gt;Metadata!$G$8),MAX(Metadata!$G$8-L511,0,L511-Metadata!$H$8)/(Metadata!$H$8-Metadata!$G$8),"Missing input")</f>
        <v>0</v>
      </c>
    </row>
    <row r="512" spans="1:55" x14ac:dyDescent="0.2">
      <c r="A512" t="s">
        <v>603</v>
      </c>
      <c r="B512" t="s">
        <v>593</v>
      </c>
      <c r="C512" t="s">
        <v>466</v>
      </c>
      <c r="D512" t="s">
        <v>55</v>
      </c>
      <c r="E512" t="s">
        <v>467</v>
      </c>
      <c r="F512">
        <v>11</v>
      </c>
      <c r="G512">
        <v>24.502161634428251</v>
      </c>
      <c r="H512">
        <v>33.048591474592847</v>
      </c>
      <c r="I512">
        <v>0.82</v>
      </c>
      <c r="J512">
        <v>0.6</v>
      </c>
      <c r="K512">
        <v>0.54</v>
      </c>
      <c r="L512">
        <v>0.25</v>
      </c>
      <c r="N512">
        <v>125</v>
      </c>
      <c r="O512">
        <v>10</v>
      </c>
      <c r="P512">
        <v>6</v>
      </c>
      <c r="Q512">
        <v>0.53616514621265798</v>
      </c>
      <c r="R512">
        <v>2383007.1153019848</v>
      </c>
      <c r="S512">
        <v>-5.0673984120044452E-3</v>
      </c>
      <c r="T512">
        <v>1029.5860052617111</v>
      </c>
      <c r="U512">
        <v>684.38581388777777</v>
      </c>
      <c r="V512">
        <v>227.7845144384317</v>
      </c>
      <c r="W512">
        <v>3.0045317855563081</v>
      </c>
      <c r="X512" t="s">
        <v>57</v>
      </c>
      <c r="Y512">
        <v>8</v>
      </c>
      <c r="Z512">
        <v>526.09199999999998</v>
      </c>
      <c r="AA512">
        <v>95.163399999999996</v>
      </c>
      <c r="AB512">
        <v>31.764600000000002</v>
      </c>
      <c r="AC512">
        <v>12.99679452554744</v>
      </c>
      <c r="AD512">
        <v>35.715723272827283</v>
      </c>
      <c r="AE512">
        <v>35.715723272827283</v>
      </c>
      <c r="AF512" t="s">
        <v>58</v>
      </c>
      <c r="AG512" t="b">
        <v>1</v>
      </c>
      <c r="AH512">
        <v>2.7480409267548129</v>
      </c>
      <c r="AI512">
        <v>528.84100000000001</v>
      </c>
      <c r="AJ512">
        <v>91.310100000000006</v>
      </c>
      <c r="AK512">
        <v>32.289299999999997</v>
      </c>
      <c r="AL512">
        <v>12.65833897645272</v>
      </c>
      <c r="AM512">
        <v>35.589998448776441</v>
      </c>
      <c r="AN512">
        <v>35.589998448776441</v>
      </c>
      <c r="AO512" t="s">
        <v>58</v>
      </c>
      <c r="AP512" t="b">
        <v>1</v>
      </c>
      <c r="AQ512">
        <v>2.8115851941539591</v>
      </c>
      <c r="AR512">
        <v>528.84100000000001</v>
      </c>
      <c r="AS512">
        <v>35.715723272827283</v>
      </c>
      <c r="AT512">
        <v>2.8115851941539591</v>
      </c>
      <c r="AU512" s="5">
        <v>26.679645284801982</v>
      </c>
      <c r="AV512" s="5">
        <v>38.108676732106709</v>
      </c>
      <c r="AW512" s="5">
        <v>2.1002541400330075</v>
      </c>
      <c r="AX512" s="5">
        <v>2.9999614021622745</v>
      </c>
      <c r="AY512" t="s">
        <v>59</v>
      </c>
      <c r="AZ512" t="s">
        <v>60</v>
      </c>
      <c r="BA512" s="23">
        <f t="shared" si="7"/>
        <v>0</v>
      </c>
      <c r="BB512" s="23">
        <f>IF(AND(ISNUMBER(H512),Metadata!$H$5&gt;Metadata!$G$5),MAX(Metadata!$G$5-H512,0,H512-Metadata!$H$5)/(Metadata!$H$5-Metadata!$G$5),"Missing input")</f>
        <v>0</v>
      </c>
      <c r="BC512" s="23">
        <f>IF(AND(ISNUMBER(L512),Metadata!$H$8&gt;Metadata!$G$8),MAX(Metadata!$G$8-L512,0,L512-Metadata!$H$8)/(Metadata!$H$8-Metadata!$G$8),"Missing input")</f>
        <v>0</v>
      </c>
    </row>
    <row r="513" spans="1:55" x14ac:dyDescent="0.2">
      <c r="A513" t="s">
        <v>604</v>
      </c>
      <c r="B513" t="s">
        <v>593</v>
      </c>
      <c r="C513" t="s">
        <v>466</v>
      </c>
      <c r="D513" t="s">
        <v>55</v>
      </c>
      <c r="E513" t="s">
        <v>467</v>
      </c>
      <c r="F513">
        <v>12</v>
      </c>
      <c r="G513">
        <v>56.241153781572699</v>
      </c>
      <c r="H513">
        <v>14.78764467513273</v>
      </c>
      <c r="I513">
        <v>0.82</v>
      </c>
      <c r="J513">
        <v>0.6</v>
      </c>
      <c r="K513">
        <v>0.54</v>
      </c>
      <c r="L513">
        <v>0.25</v>
      </c>
      <c r="N513">
        <v>125</v>
      </c>
      <c r="O513">
        <v>10</v>
      </c>
      <c r="P513">
        <v>6</v>
      </c>
      <c r="Q513">
        <v>0.53616514621265798</v>
      </c>
      <c r="R513">
        <v>2448743.9197241841</v>
      </c>
      <c r="S513">
        <v>-3.5846867266912138E-3</v>
      </c>
      <c r="T513">
        <v>953.33614332622915</v>
      </c>
      <c r="U513">
        <v>811.40111588676484</v>
      </c>
      <c r="V513">
        <v>210.9150759571304</v>
      </c>
      <c r="W513">
        <v>3.8470512940084309</v>
      </c>
      <c r="X513" t="s">
        <v>57</v>
      </c>
      <c r="Y513">
        <v>8</v>
      </c>
      <c r="Z513">
        <v>721.697</v>
      </c>
      <c r="AA513">
        <v>95.163399999999996</v>
      </c>
      <c r="AB513">
        <v>51.296399999999998</v>
      </c>
      <c r="AC513">
        <v>13.490720290121191</v>
      </c>
      <c r="AD513">
        <v>76.926537500895478</v>
      </c>
      <c r="AE513">
        <v>76.926537500895478</v>
      </c>
      <c r="AF513" t="s">
        <v>58</v>
      </c>
      <c r="AG513" t="b">
        <v>1</v>
      </c>
      <c r="AH513">
        <v>5.7021816364561548</v>
      </c>
      <c r="AI513">
        <v>717.99599999999998</v>
      </c>
      <c r="AJ513">
        <v>91.310100000000006</v>
      </c>
      <c r="AK513">
        <v>51.757599999999996</v>
      </c>
      <c r="AL513">
        <v>13.19188191489361</v>
      </c>
      <c r="AM513">
        <v>76.468483229127884</v>
      </c>
      <c r="AN513">
        <v>76.468483229127884</v>
      </c>
      <c r="AO513" t="s">
        <v>58</v>
      </c>
      <c r="AP513" t="b">
        <v>1</v>
      </c>
      <c r="AQ513">
        <v>5.7966318772756074</v>
      </c>
      <c r="AR513">
        <v>721.697</v>
      </c>
      <c r="AS513">
        <v>76.926537500895478</v>
      </c>
      <c r="AT513">
        <v>5.7966318772756074</v>
      </c>
      <c r="AU513" s="5">
        <v>57.464123513168921</v>
      </c>
      <c r="AV513" s="5">
        <v>82.08061551345547</v>
      </c>
      <c r="AW513" s="5">
        <v>4.3300840123248783</v>
      </c>
      <c r="AX513" s="5">
        <v>6.1850062130530725</v>
      </c>
      <c r="AY513" t="s">
        <v>59</v>
      </c>
      <c r="AZ513" t="s">
        <v>60</v>
      </c>
      <c r="BA513" s="23">
        <f t="shared" si="7"/>
        <v>0</v>
      </c>
      <c r="BB513" s="23">
        <f>IF(AND(ISNUMBER(H513),Metadata!$H$5&gt;Metadata!$G$5),MAX(Metadata!$G$5-H513,0,H513-Metadata!$H$5)/(Metadata!$H$5-Metadata!$G$5),"Missing input")</f>
        <v>0</v>
      </c>
      <c r="BC513" s="23">
        <f>IF(AND(ISNUMBER(L513),Metadata!$H$8&gt;Metadata!$G$8),MAX(Metadata!$G$8-L513,0,L513-Metadata!$H$8)/(Metadata!$H$8-Metadata!$G$8),"Missing input")</f>
        <v>0</v>
      </c>
    </row>
    <row r="514" spans="1:55" x14ac:dyDescent="0.2">
      <c r="A514" t="s">
        <v>605</v>
      </c>
      <c r="B514" t="s">
        <v>593</v>
      </c>
      <c r="C514" t="s">
        <v>466</v>
      </c>
      <c r="D514" t="s">
        <v>55</v>
      </c>
      <c r="E514" t="s">
        <v>467</v>
      </c>
      <c r="F514">
        <v>13</v>
      </c>
      <c r="G514">
        <v>49.119901382435643</v>
      </c>
      <c r="H514">
        <v>22.54933477691009</v>
      </c>
      <c r="I514">
        <v>0.82</v>
      </c>
      <c r="J514">
        <v>0.6</v>
      </c>
      <c r="K514">
        <v>0.54</v>
      </c>
      <c r="L514">
        <v>0.25</v>
      </c>
      <c r="N514">
        <v>125</v>
      </c>
      <c r="O514">
        <v>10</v>
      </c>
      <c r="P514">
        <v>6</v>
      </c>
      <c r="Q514">
        <v>0.53616514621265798</v>
      </c>
      <c r="R514">
        <v>3276584.6264440492</v>
      </c>
      <c r="S514">
        <v>-4.4431908620731148E-3</v>
      </c>
      <c r="T514">
        <v>1306.83278984662</v>
      </c>
      <c r="U514">
        <v>786.94653369120795</v>
      </c>
      <c r="V514">
        <v>289.12229863863269</v>
      </c>
      <c r="W514">
        <v>2.721846559039689</v>
      </c>
      <c r="X514" t="s">
        <v>57</v>
      </c>
      <c r="Y514">
        <v>8</v>
      </c>
      <c r="Z514">
        <v>795.64800000000002</v>
      </c>
      <c r="AA514">
        <v>95.163399999999996</v>
      </c>
      <c r="AB514">
        <v>41.623100000000001</v>
      </c>
      <c r="AC514">
        <v>13.730645022771631</v>
      </c>
      <c r="AD514">
        <v>51.385155273113668</v>
      </c>
      <c r="AE514">
        <v>51.385155273113668</v>
      </c>
      <c r="AF514" t="s">
        <v>58</v>
      </c>
      <c r="AG514" t="b">
        <v>1</v>
      </c>
      <c r="AH514">
        <v>3.7423700917104621</v>
      </c>
      <c r="AI514">
        <v>793.54600000000005</v>
      </c>
      <c r="AJ514">
        <v>91.310100000000006</v>
      </c>
      <c r="AK514">
        <v>39.358900000000013</v>
      </c>
      <c r="AL514">
        <v>13.539522141151499</v>
      </c>
      <c r="AM514">
        <v>51.532777889198293</v>
      </c>
      <c r="AN514">
        <v>51.532777889198293</v>
      </c>
      <c r="AO514" t="s">
        <v>58</v>
      </c>
      <c r="AP514" t="b">
        <v>1</v>
      </c>
      <c r="AQ514">
        <v>3.806100197035136</v>
      </c>
      <c r="AR514">
        <v>795.64800000000002</v>
      </c>
      <c r="AS514">
        <v>51.532777889198293</v>
      </c>
      <c r="AT514">
        <v>3.806100197035136</v>
      </c>
      <c r="AU514" s="5">
        <v>38.494985083231121</v>
      </c>
      <c r="AV514" s="5">
        <v>54.985474007774577</v>
      </c>
      <c r="AW514" s="5">
        <v>2.8431568471852464</v>
      </c>
      <c r="AX514" s="5">
        <v>4.0611089102364897</v>
      </c>
      <c r="AY514" t="s">
        <v>59</v>
      </c>
      <c r="AZ514" t="s">
        <v>60</v>
      </c>
      <c r="BA514" s="23">
        <f t="shared" ref="BA514:BA577" si="8">IF(COUNT(BB514:BC514)=2,MAX(BB514:BC514),"Missing input")</f>
        <v>0</v>
      </c>
      <c r="BB514" s="23">
        <f>IF(AND(ISNUMBER(H514),Metadata!$H$5&gt;Metadata!$G$5),MAX(Metadata!$G$5-H514,0,H514-Metadata!$H$5)/(Metadata!$H$5-Metadata!$G$5),"Missing input")</f>
        <v>0</v>
      </c>
      <c r="BC514" s="23">
        <f>IF(AND(ISNUMBER(L514),Metadata!$H$8&gt;Metadata!$G$8),MAX(Metadata!$G$8-L514,0,L514-Metadata!$H$8)/(Metadata!$H$8-Metadata!$G$8),"Missing input")</f>
        <v>0</v>
      </c>
    </row>
    <row r="515" spans="1:55" x14ac:dyDescent="0.2">
      <c r="A515" t="s">
        <v>606</v>
      </c>
      <c r="B515" t="s">
        <v>593</v>
      </c>
      <c r="C515" t="s">
        <v>466</v>
      </c>
      <c r="D515" t="s">
        <v>55</v>
      </c>
      <c r="E515" t="s">
        <v>467</v>
      </c>
      <c r="F515">
        <v>14</v>
      </c>
      <c r="G515">
        <v>37.958866376576751</v>
      </c>
      <c r="H515">
        <v>9.8264864335603903</v>
      </c>
      <c r="I515">
        <v>0.82</v>
      </c>
      <c r="J515">
        <v>0.6</v>
      </c>
      <c r="K515">
        <v>0.54</v>
      </c>
      <c r="L515">
        <v>0.25</v>
      </c>
      <c r="N515">
        <v>125</v>
      </c>
      <c r="O515">
        <v>10</v>
      </c>
      <c r="P515">
        <v>6</v>
      </c>
      <c r="Q515">
        <v>0.53616514621265798</v>
      </c>
      <c r="R515">
        <v>1072728.181448289</v>
      </c>
      <c r="S515">
        <v>-2.9466396905193678E-3</v>
      </c>
      <c r="T515">
        <v>503.00536926940202</v>
      </c>
      <c r="U515">
        <v>744.72430032575369</v>
      </c>
      <c r="V515">
        <v>111.2843737321686</v>
      </c>
      <c r="W515">
        <v>6.6920833118772256</v>
      </c>
      <c r="X515" t="s">
        <v>57</v>
      </c>
      <c r="Y515">
        <v>8</v>
      </c>
      <c r="Z515">
        <v>462.18099999999998</v>
      </c>
      <c r="AA515">
        <v>95.163399999999996</v>
      </c>
      <c r="AB515">
        <v>51.296399999999998</v>
      </c>
      <c r="AC515">
        <v>14.28869349666496</v>
      </c>
      <c r="AE515">
        <v>95.163399999999996</v>
      </c>
      <c r="AF515" t="s">
        <v>62</v>
      </c>
      <c r="AG515" t="b">
        <v>0</v>
      </c>
      <c r="AH515">
        <v>6.660049081619082</v>
      </c>
      <c r="AI515">
        <v>458.43799999999999</v>
      </c>
      <c r="AJ515">
        <v>91.310100000000006</v>
      </c>
      <c r="AK515">
        <v>51.757599999999996</v>
      </c>
      <c r="AL515">
        <v>13.894451871980671</v>
      </c>
      <c r="AN515">
        <v>91.310100000000006</v>
      </c>
      <c r="AO515" t="s">
        <v>62</v>
      </c>
      <c r="AP515" t="b">
        <v>0</v>
      </c>
      <c r="AQ515">
        <v>6.571695007568775</v>
      </c>
      <c r="AR515">
        <v>462.18099999999998</v>
      </c>
      <c r="AS515">
        <v>95.163399999999996</v>
      </c>
      <c r="AT515">
        <v>6.660049081619082</v>
      </c>
      <c r="AU515" s="5">
        <v>71.087059799999992</v>
      </c>
      <c r="AV515" s="5">
        <v>101.53934779999999</v>
      </c>
      <c r="AW515" s="5">
        <v>4.975056663969454</v>
      </c>
      <c r="AX515" s="5">
        <v>7.1062723700875603</v>
      </c>
      <c r="AY515" t="s">
        <v>59</v>
      </c>
      <c r="AZ515" t="s">
        <v>60</v>
      </c>
      <c r="BA515" s="23">
        <f t="shared" si="8"/>
        <v>0</v>
      </c>
      <c r="BB515" s="23">
        <f>IF(AND(ISNUMBER(H515),Metadata!$H$5&gt;Metadata!$G$5),MAX(Metadata!$G$5-H515,0,H515-Metadata!$H$5)/(Metadata!$H$5-Metadata!$G$5),"Missing input")</f>
        <v>0</v>
      </c>
      <c r="BC515" s="23">
        <f>IF(AND(ISNUMBER(L515),Metadata!$H$8&gt;Metadata!$G$8),MAX(Metadata!$G$8-L515,0,L515-Metadata!$H$8)/(Metadata!$H$8-Metadata!$G$8),"Missing input")</f>
        <v>0</v>
      </c>
    </row>
    <row r="516" spans="1:55" x14ac:dyDescent="0.2">
      <c r="A516" t="s">
        <v>607</v>
      </c>
      <c r="B516" t="s">
        <v>593</v>
      </c>
      <c r="C516" t="s">
        <v>466</v>
      </c>
      <c r="D516" t="s">
        <v>55</v>
      </c>
      <c r="E516" t="s">
        <v>467</v>
      </c>
      <c r="F516">
        <v>15</v>
      </c>
      <c r="G516">
        <v>27.308053040943211</v>
      </c>
      <c r="H516">
        <v>5.2772178758296739</v>
      </c>
      <c r="I516">
        <v>0.82</v>
      </c>
      <c r="J516">
        <v>0.6</v>
      </c>
      <c r="K516">
        <v>0.54</v>
      </c>
      <c r="L516">
        <v>0.25</v>
      </c>
      <c r="N516">
        <v>125</v>
      </c>
      <c r="O516">
        <v>10</v>
      </c>
      <c r="P516">
        <v>6</v>
      </c>
      <c r="Q516">
        <v>0.53616514621265798</v>
      </c>
      <c r="R516">
        <v>386052.96198531118</v>
      </c>
      <c r="S516">
        <v>-2.3780898092902159E-3</v>
      </c>
      <c r="T516">
        <v>322.00333554608738</v>
      </c>
      <c r="U516">
        <v>698.12364149884274</v>
      </c>
      <c r="V516">
        <v>71.239676005771557</v>
      </c>
      <c r="W516">
        <v>9.7996464981435842</v>
      </c>
      <c r="X516" t="s">
        <v>57</v>
      </c>
      <c r="Y516">
        <v>8</v>
      </c>
      <c r="Z516">
        <v>324.60599999999999</v>
      </c>
      <c r="AA516">
        <v>95.163399999999996</v>
      </c>
      <c r="AB516">
        <v>65.006200000000007</v>
      </c>
      <c r="AC516">
        <v>15.70750003101737</v>
      </c>
      <c r="AE516">
        <v>95.163399999999996</v>
      </c>
      <c r="AF516" t="s">
        <v>62</v>
      </c>
      <c r="AG516" t="b">
        <v>0</v>
      </c>
      <c r="AH516">
        <v>6.0584688723273743</v>
      </c>
      <c r="AI516">
        <v>324.423</v>
      </c>
      <c r="AJ516">
        <v>91.310100000000006</v>
      </c>
      <c r="AK516">
        <v>32.289299999999997</v>
      </c>
      <c r="AL516">
        <v>15.513747892720311</v>
      </c>
      <c r="AN516">
        <v>91.310100000000006</v>
      </c>
      <c r="AO516" t="s">
        <v>62</v>
      </c>
      <c r="AP516" t="b">
        <v>0</v>
      </c>
      <c r="AQ516">
        <v>5.8857537605626868</v>
      </c>
      <c r="AR516">
        <v>324.60599999999999</v>
      </c>
      <c r="AS516">
        <v>95.163399999999996</v>
      </c>
      <c r="AT516">
        <v>6.0584688723273743</v>
      </c>
      <c r="AU516" s="5">
        <v>71.087059799999992</v>
      </c>
      <c r="AV516" s="5">
        <v>101.53934779999999</v>
      </c>
      <c r="AW516" s="5">
        <v>4.5256762476285486</v>
      </c>
      <c r="AX516" s="5">
        <v>6.4643862867733084</v>
      </c>
      <c r="AY516" t="s">
        <v>59</v>
      </c>
      <c r="AZ516" t="s">
        <v>60</v>
      </c>
      <c r="BA516" s="23">
        <f t="shared" si="8"/>
        <v>0</v>
      </c>
      <c r="BB516" s="23">
        <f>IF(AND(ISNUMBER(H516),Metadata!$H$5&gt;Metadata!$G$5),MAX(Metadata!$G$5-H516,0,H516-Metadata!$H$5)/(Metadata!$H$5-Metadata!$G$5),"Missing input")</f>
        <v>0</v>
      </c>
      <c r="BC516" s="23">
        <f>IF(AND(ISNUMBER(L516),Metadata!$H$8&gt;Metadata!$G$8),MAX(Metadata!$G$8-L516,0,L516-Metadata!$H$8)/(Metadata!$H$8-Metadata!$G$8),"Missing input")</f>
        <v>0</v>
      </c>
    </row>
    <row r="517" spans="1:55" x14ac:dyDescent="0.2">
      <c r="A517" t="s">
        <v>608</v>
      </c>
      <c r="B517" t="s">
        <v>593</v>
      </c>
      <c r="C517" t="s">
        <v>466</v>
      </c>
      <c r="D517" t="s">
        <v>55</v>
      </c>
      <c r="E517" t="s">
        <v>467</v>
      </c>
      <c r="F517">
        <v>16</v>
      </c>
      <c r="G517">
        <v>31.1252119640606</v>
      </c>
      <c r="H517">
        <v>39.5069074866867</v>
      </c>
      <c r="I517">
        <v>0.82</v>
      </c>
      <c r="J517">
        <v>0.6</v>
      </c>
      <c r="K517">
        <v>0.54</v>
      </c>
      <c r="L517">
        <v>0.25</v>
      </c>
      <c r="N517">
        <v>125</v>
      </c>
      <c r="O517">
        <v>10</v>
      </c>
      <c r="P517">
        <v>6</v>
      </c>
      <c r="Q517">
        <v>0.53616514621265798</v>
      </c>
      <c r="R517">
        <v>3642703.933702969</v>
      </c>
      <c r="S517">
        <v>-5.1480364443268842E-3</v>
      </c>
      <c r="T517">
        <v>1553.320587426258</v>
      </c>
      <c r="U517">
        <v>715.72465594585606</v>
      </c>
      <c r="V517">
        <v>343.65499721819879</v>
      </c>
      <c r="W517">
        <v>2.0826836849150112</v>
      </c>
      <c r="X517" t="s">
        <v>57</v>
      </c>
      <c r="Y517">
        <v>8</v>
      </c>
      <c r="Z517">
        <v>639.59900000000005</v>
      </c>
      <c r="AA517">
        <v>95.163399999999996</v>
      </c>
      <c r="AB517">
        <v>27.4831</v>
      </c>
      <c r="AC517">
        <v>12.095080407999999</v>
      </c>
      <c r="AD517">
        <v>29.87499643539385</v>
      </c>
      <c r="AE517">
        <v>29.87499643539385</v>
      </c>
      <c r="AF517" t="s">
        <v>58</v>
      </c>
      <c r="AG517" t="b">
        <v>1</v>
      </c>
      <c r="AH517">
        <v>2.470012222129069</v>
      </c>
      <c r="AI517">
        <v>644.84900000000005</v>
      </c>
      <c r="AJ517">
        <v>91.310100000000006</v>
      </c>
      <c r="AK517">
        <v>28.431100000000001</v>
      </c>
      <c r="AL517">
        <v>11.476016296904961</v>
      </c>
      <c r="AM517">
        <v>30.69047761743537</v>
      </c>
      <c r="AN517">
        <v>30.69047761743537</v>
      </c>
      <c r="AO517" t="s">
        <v>58</v>
      </c>
      <c r="AP517" t="b">
        <v>1</v>
      </c>
      <c r="AQ517">
        <v>2.6743145725326731</v>
      </c>
      <c r="AR517">
        <v>644.84900000000005</v>
      </c>
      <c r="AS517">
        <v>30.69047761743537</v>
      </c>
      <c r="AT517">
        <v>2.6743145725326731</v>
      </c>
      <c r="AU517" s="5">
        <v>22.925786780224222</v>
      </c>
      <c r="AV517" s="5">
        <v>32.746739617803541</v>
      </c>
      <c r="AW517" s="5">
        <v>1.9977129856819069</v>
      </c>
      <c r="AX517" s="5">
        <v>2.8534936488923619</v>
      </c>
      <c r="AY517" t="s">
        <v>59</v>
      </c>
      <c r="AZ517" t="s">
        <v>60</v>
      </c>
      <c r="BA517" s="23">
        <f t="shared" si="8"/>
        <v>0</v>
      </c>
      <c r="BB517" s="23">
        <f>IF(AND(ISNUMBER(H517),Metadata!$H$5&gt;Metadata!$G$5),MAX(Metadata!$G$5-H517,0,H517-Metadata!$H$5)/(Metadata!$H$5-Metadata!$G$5),"Missing input")</f>
        <v>0</v>
      </c>
      <c r="BC517" s="23">
        <f>IF(AND(ISNUMBER(L517),Metadata!$H$8&gt;Metadata!$G$8),MAX(Metadata!$G$8-L517,0,L517-Metadata!$H$8)/(Metadata!$H$8-Metadata!$G$8),"Missing input")</f>
        <v>0</v>
      </c>
    </row>
    <row r="518" spans="1:55" x14ac:dyDescent="0.2">
      <c r="A518" t="s">
        <v>609</v>
      </c>
      <c r="B518" t="s">
        <v>593</v>
      </c>
      <c r="C518" t="s">
        <v>466</v>
      </c>
      <c r="D518" t="s">
        <v>55</v>
      </c>
      <c r="E518" t="s">
        <v>467</v>
      </c>
      <c r="F518">
        <v>17</v>
      </c>
      <c r="G518">
        <v>46.390186033042063</v>
      </c>
      <c r="H518">
        <v>16.21387510983789</v>
      </c>
      <c r="I518">
        <v>0.82</v>
      </c>
      <c r="J518">
        <v>0.6</v>
      </c>
      <c r="K518">
        <v>0.54</v>
      </c>
      <c r="L518">
        <v>0.25</v>
      </c>
      <c r="N518">
        <v>125</v>
      </c>
      <c r="O518">
        <v>10</v>
      </c>
      <c r="P518">
        <v>6</v>
      </c>
      <c r="Q518">
        <v>0.53616514621265798</v>
      </c>
      <c r="R518">
        <v>2210215.3729856689</v>
      </c>
      <c r="S518">
        <v>-3.7608130188217861E-3</v>
      </c>
      <c r="T518">
        <v>884.8863604006018</v>
      </c>
      <c r="U518">
        <v>777.10568399344538</v>
      </c>
      <c r="V518">
        <v>195.77131867269949</v>
      </c>
      <c r="W518">
        <v>3.9694562475346569</v>
      </c>
      <c r="X518" t="s">
        <v>57</v>
      </c>
      <c r="Y518">
        <v>8</v>
      </c>
      <c r="Z518">
        <v>657.12300000000005</v>
      </c>
      <c r="AA518">
        <v>95.163399999999996</v>
      </c>
      <c r="AB518">
        <v>49.589399999999998</v>
      </c>
      <c r="AC518">
        <v>13.68852544964029</v>
      </c>
      <c r="AD518">
        <v>70.405191643423791</v>
      </c>
      <c r="AE518">
        <v>70.405191643423791</v>
      </c>
      <c r="AF518" t="s">
        <v>58</v>
      </c>
      <c r="AG518" t="b">
        <v>1</v>
      </c>
      <c r="AH518">
        <v>5.1433729587925718</v>
      </c>
      <c r="AI518">
        <v>652.93200000000002</v>
      </c>
      <c r="AJ518">
        <v>91.310100000000006</v>
      </c>
      <c r="AK518">
        <v>49.6965</v>
      </c>
      <c r="AL518">
        <v>13.320526419753079</v>
      </c>
      <c r="AM518">
        <v>70.414810586904537</v>
      </c>
      <c r="AN518">
        <v>70.414810586904537</v>
      </c>
      <c r="AO518" t="s">
        <v>58</v>
      </c>
      <c r="AP518" t="b">
        <v>1</v>
      </c>
      <c r="AQ518">
        <v>5.2861882757490726</v>
      </c>
      <c r="AR518">
        <v>657.12300000000005</v>
      </c>
      <c r="AS518">
        <v>70.414810586904537</v>
      </c>
      <c r="AT518">
        <v>5.2861882757490726</v>
      </c>
      <c r="AU518" s="5">
        <v>52.599863508417691</v>
      </c>
      <c r="AV518" s="5">
        <v>75.132602896227141</v>
      </c>
      <c r="AW518" s="5">
        <v>3.9487826419845571</v>
      </c>
      <c r="AX518" s="5">
        <v>5.6403628902242602</v>
      </c>
      <c r="AY518" t="s">
        <v>59</v>
      </c>
      <c r="AZ518" t="s">
        <v>60</v>
      </c>
      <c r="BA518" s="23">
        <f t="shared" si="8"/>
        <v>0</v>
      </c>
      <c r="BB518" s="23">
        <f>IF(AND(ISNUMBER(H518),Metadata!$H$5&gt;Metadata!$G$5),MAX(Metadata!$G$5-H518,0,H518-Metadata!$H$5)/(Metadata!$H$5-Metadata!$G$5),"Missing input")</f>
        <v>0</v>
      </c>
      <c r="BC518" s="23">
        <f>IF(AND(ISNUMBER(L518),Metadata!$H$8&gt;Metadata!$G$8),MAX(Metadata!$G$8-L518,0,L518-Metadata!$H$8)/(Metadata!$H$8-Metadata!$G$8),"Missing input")</f>
        <v>0</v>
      </c>
    </row>
    <row r="519" spans="1:55" x14ac:dyDescent="0.2">
      <c r="A519" t="s">
        <v>610</v>
      </c>
      <c r="B519" t="s">
        <v>593</v>
      </c>
      <c r="C519" t="s">
        <v>466</v>
      </c>
      <c r="D519" t="s">
        <v>55</v>
      </c>
      <c r="E519" t="s">
        <v>467</v>
      </c>
      <c r="F519">
        <v>18</v>
      </c>
      <c r="G519">
        <v>54.165408264435399</v>
      </c>
      <c r="H519">
        <v>18.25275816413232</v>
      </c>
      <c r="I519">
        <v>0.82</v>
      </c>
      <c r="J519">
        <v>0.6</v>
      </c>
      <c r="K519">
        <v>0.54</v>
      </c>
      <c r="L519">
        <v>0.25</v>
      </c>
      <c r="N519">
        <v>125</v>
      </c>
      <c r="O519">
        <v>10</v>
      </c>
      <c r="P519">
        <v>6</v>
      </c>
      <c r="Q519">
        <v>0.53616514621265798</v>
      </c>
      <c r="R519">
        <v>2919725.6187367002</v>
      </c>
      <c r="S519">
        <v>-4.0007390207918141E-3</v>
      </c>
      <c r="T519">
        <v>1143.3919504044461</v>
      </c>
      <c r="U519">
        <v>804.44140245145684</v>
      </c>
      <c r="V519">
        <v>252.96282088593941</v>
      </c>
      <c r="W519">
        <v>3.180077608377788</v>
      </c>
      <c r="X519" t="s">
        <v>57</v>
      </c>
      <c r="Y519">
        <v>8</v>
      </c>
      <c r="Z519">
        <v>779.21500000000003</v>
      </c>
      <c r="AA519">
        <v>95.163399999999996</v>
      </c>
      <c r="AB519">
        <v>44.910200000000003</v>
      </c>
      <c r="AC519">
        <v>13.60063992307693</v>
      </c>
      <c r="AD519">
        <v>64.258934433967823</v>
      </c>
      <c r="AE519">
        <v>64.258934433967823</v>
      </c>
      <c r="AF519" t="s">
        <v>58</v>
      </c>
      <c r="AG519" t="b">
        <v>1</v>
      </c>
      <c r="AH519">
        <v>4.7246993374875164</v>
      </c>
      <c r="AI519">
        <v>773.86699999999996</v>
      </c>
      <c r="AJ519">
        <v>91.310100000000006</v>
      </c>
      <c r="AK519">
        <v>47.291899999999998</v>
      </c>
      <c r="AL519">
        <v>13.34097560720814</v>
      </c>
      <c r="AM519">
        <v>64.811612605413842</v>
      </c>
      <c r="AN519">
        <v>64.811612605413842</v>
      </c>
      <c r="AO519" t="s">
        <v>58</v>
      </c>
      <c r="AP519" t="b">
        <v>1</v>
      </c>
      <c r="AQ519">
        <v>4.8580864333786851</v>
      </c>
      <c r="AR519">
        <v>779.21500000000003</v>
      </c>
      <c r="AS519">
        <v>64.811612605413842</v>
      </c>
      <c r="AT519">
        <v>4.8580864333786851</v>
      </c>
      <c r="AU519" s="5">
        <v>48.414274616244143</v>
      </c>
      <c r="AV519" s="5">
        <v>69.153990649976564</v>
      </c>
      <c r="AW519" s="5">
        <v>3.6289905657338779</v>
      </c>
      <c r="AX519" s="5">
        <v>5.183578224415057</v>
      </c>
      <c r="AY519" t="s">
        <v>59</v>
      </c>
      <c r="AZ519" t="s">
        <v>60</v>
      </c>
      <c r="BA519" s="23">
        <f t="shared" si="8"/>
        <v>0</v>
      </c>
      <c r="BB519" s="23">
        <f>IF(AND(ISNUMBER(H519),Metadata!$H$5&gt;Metadata!$G$5),MAX(Metadata!$G$5-H519,0,H519-Metadata!$H$5)/(Metadata!$H$5-Metadata!$G$5),"Missing input")</f>
        <v>0</v>
      </c>
      <c r="BC519" s="23">
        <f>IF(AND(ISNUMBER(L519),Metadata!$H$8&gt;Metadata!$G$8),MAX(Metadata!$G$8-L519,0,L519-Metadata!$H$8)/(Metadata!$H$8-Metadata!$G$8),"Missing input")</f>
        <v>0</v>
      </c>
    </row>
    <row r="520" spans="1:55" x14ac:dyDescent="0.2">
      <c r="A520" t="s">
        <v>611</v>
      </c>
      <c r="B520" t="s">
        <v>593</v>
      </c>
      <c r="C520" t="s">
        <v>466</v>
      </c>
      <c r="D520" t="s">
        <v>55</v>
      </c>
      <c r="E520" t="s">
        <v>467</v>
      </c>
      <c r="F520">
        <v>19</v>
      </c>
      <c r="G520">
        <v>21.707483118551171</v>
      </c>
      <c r="H520">
        <v>43.497365085878002</v>
      </c>
      <c r="I520">
        <v>0.82</v>
      </c>
      <c r="J520">
        <v>0.6</v>
      </c>
      <c r="K520">
        <v>0.54</v>
      </c>
      <c r="L520">
        <v>0.25</v>
      </c>
      <c r="N520">
        <v>125</v>
      </c>
      <c r="O520">
        <v>10</v>
      </c>
      <c r="P520">
        <v>6</v>
      </c>
      <c r="Q520">
        <v>0.53616514621265798</v>
      </c>
      <c r="R520">
        <v>2786376.2799094608</v>
      </c>
      <c r="S520">
        <v>-5.1056122092214698E-3</v>
      </c>
      <c r="T520">
        <v>1223.461013450026</v>
      </c>
      <c r="U520">
        <v>669.89609780516332</v>
      </c>
      <c r="V520">
        <v>270.67721536505002</v>
      </c>
      <c r="W520">
        <v>2.474889129111606</v>
      </c>
      <c r="X520" t="s">
        <v>57</v>
      </c>
      <c r="Y520">
        <v>8</v>
      </c>
      <c r="Z520">
        <v>494.63499999999999</v>
      </c>
      <c r="AA520">
        <v>95.163399999999996</v>
      </c>
      <c r="AB520">
        <v>25.7987</v>
      </c>
      <c r="AC520">
        <v>11.874994730941699</v>
      </c>
      <c r="AD520">
        <v>27.656876401510431</v>
      </c>
      <c r="AE520">
        <v>27.656876401510431</v>
      </c>
      <c r="AF520" t="s">
        <v>58</v>
      </c>
      <c r="AG520" t="b">
        <v>1</v>
      </c>
      <c r="AH520">
        <v>2.3290011514234341</v>
      </c>
      <c r="AI520">
        <v>494.99299999999999</v>
      </c>
      <c r="AJ520">
        <v>91.310100000000006</v>
      </c>
      <c r="AK520">
        <v>26.501899999999999</v>
      </c>
      <c r="AL520">
        <v>10.85532432432433</v>
      </c>
      <c r="AM520">
        <v>28.80791249916048</v>
      </c>
      <c r="AN520">
        <v>28.80791249916048</v>
      </c>
      <c r="AO520" t="s">
        <v>58</v>
      </c>
      <c r="AP520" t="b">
        <v>1</v>
      </c>
      <c r="AQ520">
        <v>2.6538048646421801</v>
      </c>
      <c r="AR520">
        <v>494.99299999999999</v>
      </c>
      <c r="AS520">
        <v>28.80791249916048</v>
      </c>
      <c r="AT520">
        <v>2.6538048646421801</v>
      </c>
      <c r="AU520" s="5">
        <v>21.51951063687288</v>
      </c>
      <c r="AV520" s="5">
        <v>30.738042636604231</v>
      </c>
      <c r="AW520" s="5">
        <v>1.9823922338877085</v>
      </c>
      <c r="AX520" s="5">
        <v>2.8316097905732063</v>
      </c>
      <c r="AY520" t="s">
        <v>64</v>
      </c>
      <c r="AZ520" t="s">
        <v>7</v>
      </c>
      <c r="BA520" s="23">
        <f t="shared" si="8"/>
        <v>9.4596678167087334E-2</v>
      </c>
      <c r="BB520" s="23">
        <f>IF(AND(ISNUMBER(H520),Metadata!$H$5&gt;Metadata!$G$5),MAX(Metadata!$G$5-H520,0,H520-Metadata!$H$5)/(Metadata!$H$5-Metadata!$G$5),"Missing input")</f>
        <v>9.4596678167087334E-2</v>
      </c>
      <c r="BC520" s="23">
        <f>IF(AND(ISNUMBER(L520),Metadata!$H$8&gt;Metadata!$G$8),MAX(Metadata!$G$8-L520,0,L520-Metadata!$H$8)/(Metadata!$H$8-Metadata!$G$8),"Missing input")</f>
        <v>0</v>
      </c>
    </row>
    <row r="521" spans="1:55" x14ac:dyDescent="0.2">
      <c r="A521" t="s">
        <v>612</v>
      </c>
      <c r="B521" t="s">
        <v>593</v>
      </c>
      <c r="C521" t="s">
        <v>466</v>
      </c>
      <c r="D521" t="s">
        <v>55</v>
      </c>
      <c r="E521" t="s">
        <v>467</v>
      </c>
      <c r="F521">
        <v>20</v>
      </c>
      <c r="G521">
        <v>53.035991243371583</v>
      </c>
      <c r="H521">
        <v>30.34654288470276</v>
      </c>
      <c r="I521">
        <v>0.82</v>
      </c>
      <c r="J521">
        <v>0.6</v>
      </c>
      <c r="K521">
        <v>0.54</v>
      </c>
      <c r="L521">
        <v>0.25</v>
      </c>
      <c r="N521">
        <v>125</v>
      </c>
      <c r="O521">
        <v>10</v>
      </c>
      <c r="P521">
        <v>6</v>
      </c>
      <c r="Q521">
        <v>0.53616514621265798</v>
      </c>
      <c r="R521">
        <v>4782098.2730990862</v>
      </c>
      <c r="S521">
        <v>-4.9697251916189121E-3</v>
      </c>
      <c r="T521">
        <v>1960.002807526814</v>
      </c>
      <c r="U521">
        <v>800.59853302729891</v>
      </c>
      <c r="V521">
        <v>433.62893971832159</v>
      </c>
      <c r="W521">
        <v>1.8462756050077169</v>
      </c>
      <c r="X521" t="s">
        <v>57</v>
      </c>
      <c r="Y521">
        <v>8</v>
      </c>
      <c r="Z521">
        <v>941.75400000000002</v>
      </c>
      <c r="AA521">
        <v>95.163399999999996</v>
      </c>
      <c r="AB521">
        <v>34.786900000000003</v>
      </c>
      <c r="AC521">
        <v>13.653843903987809</v>
      </c>
      <c r="AD521">
        <v>37.889190684798031</v>
      </c>
      <c r="AE521">
        <v>37.889190684798031</v>
      </c>
      <c r="AF521" t="s">
        <v>58</v>
      </c>
      <c r="AG521" t="b">
        <v>1</v>
      </c>
      <c r="AH521">
        <v>2.7749834369888999</v>
      </c>
      <c r="AI521">
        <v>937.99699999999996</v>
      </c>
      <c r="AJ521">
        <v>91.310100000000006</v>
      </c>
      <c r="AK521">
        <v>34.388800000000003</v>
      </c>
      <c r="AL521">
        <v>13.11428899651497</v>
      </c>
      <c r="AM521">
        <v>38.656245277935447</v>
      </c>
      <c r="AN521">
        <v>38.656245277935447</v>
      </c>
      <c r="AO521" t="s">
        <v>58</v>
      </c>
      <c r="AP521" t="b">
        <v>1</v>
      </c>
      <c r="AQ521">
        <v>2.9476432377087369</v>
      </c>
      <c r="AR521">
        <v>941.75400000000002</v>
      </c>
      <c r="AS521">
        <v>38.656245277935447</v>
      </c>
      <c r="AT521">
        <v>2.9476432377087369</v>
      </c>
      <c r="AU521" s="5">
        <v>28.87621522261778</v>
      </c>
      <c r="AV521" s="5">
        <v>41.246213711557118</v>
      </c>
      <c r="AW521" s="5">
        <v>2.2018894985684265</v>
      </c>
      <c r="AX521" s="5">
        <v>3.145135334635222</v>
      </c>
      <c r="AY521" t="s">
        <v>59</v>
      </c>
      <c r="AZ521" t="s">
        <v>60</v>
      </c>
      <c r="BA521" s="23">
        <f t="shared" si="8"/>
        <v>0</v>
      </c>
      <c r="BB521" s="23">
        <f>IF(AND(ISNUMBER(H521),Metadata!$H$5&gt;Metadata!$G$5),MAX(Metadata!$G$5-H521,0,H521-Metadata!$H$5)/(Metadata!$H$5-Metadata!$G$5),"Missing input")</f>
        <v>0</v>
      </c>
      <c r="BC521" s="23">
        <f>IF(AND(ISNUMBER(L521),Metadata!$H$8&gt;Metadata!$G$8),MAX(Metadata!$G$8-L521,0,L521-Metadata!$H$8)/(Metadata!$H$8-Metadata!$G$8),"Missing input")</f>
        <v>0</v>
      </c>
    </row>
    <row r="522" spans="1:55" x14ac:dyDescent="0.2">
      <c r="A522" t="s">
        <v>613</v>
      </c>
      <c r="B522" t="s">
        <v>614</v>
      </c>
      <c r="C522" t="s">
        <v>466</v>
      </c>
      <c r="D522" t="s">
        <v>55</v>
      </c>
      <c r="E522" t="s">
        <v>467</v>
      </c>
      <c r="F522">
        <v>1</v>
      </c>
      <c r="G522">
        <v>22.11413992487228</v>
      </c>
      <c r="H522">
        <v>28.832065765515338</v>
      </c>
      <c r="I522">
        <v>0.82</v>
      </c>
      <c r="J522">
        <v>0.45</v>
      </c>
      <c r="K522">
        <v>0.54</v>
      </c>
      <c r="L522">
        <v>0.25</v>
      </c>
      <c r="N522">
        <v>125</v>
      </c>
      <c r="O522">
        <v>10</v>
      </c>
      <c r="P522">
        <v>6</v>
      </c>
      <c r="Q522">
        <v>0.53616514621265798</v>
      </c>
      <c r="R522">
        <v>1866510.334985178</v>
      </c>
      <c r="S522">
        <v>-4.8965296228194732E-3</v>
      </c>
      <c r="T522">
        <v>826.08687358173506</v>
      </c>
      <c r="U522">
        <v>672.06023102885479</v>
      </c>
      <c r="V522">
        <v>182.7625826508264</v>
      </c>
      <c r="W522">
        <v>3.6772309806589178</v>
      </c>
      <c r="X522" t="s">
        <v>57</v>
      </c>
      <c r="Y522">
        <v>8</v>
      </c>
      <c r="Z522">
        <v>475.61700000000002</v>
      </c>
      <c r="AA522">
        <v>95.163399999999996</v>
      </c>
      <c r="AB522">
        <v>34.031300000000002</v>
      </c>
      <c r="AC522">
        <v>13.64801777456648</v>
      </c>
      <c r="AD522">
        <v>38.645569369024862</v>
      </c>
      <c r="AE522">
        <v>38.645569369024862</v>
      </c>
      <c r="AF522" t="s">
        <v>58</v>
      </c>
      <c r="AG522" t="b">
        <v>1</v>
      </c>
      <c r="AH522">
        <v>2.8315884407069078</v>
      </c>
      <c r="AI522">
        <v>473.09</v>
      </c>
      <c r="AJ522">
        <v>91.310100000000006</v>
      </c>
      <c r="AK522">
        <v>32.289299999999997</v>
      </c>
      <c r="AL522">
        <v>13.094225372154121</v>
      </c>
      <c r="AM522">
        <v>39.504168640042352</v>
      </c>
      <c r="AN522">
        <v>39.504168640042352</v>
      </c>
      <c r="AO522" t="s">
        <v>58</v>
      </c>
      <c r="AP522" t="b">
        <v>1</v>
      </c>
      <c r="AQ522">
        <v>3.0169152826749901</v>
      </c>
      <c r="AR522">
        <v>475.61700000000002</v>
      </c>
      <c r="AS522">
        <v>39.504168640042352</v>
      </c>
      <c r="AT522">
        <v>3.0169152826749901</v>
      </c>
      <c r="AU522" s="5">
        <v>29.509613974111637</v>
      </c>
      <c r="AV522" s="5">
        <v>42.150947938925185</v>
      </c>
      <c r="AW522" s="5">
        <v>2.2536357161582177</v>
      </c>
      <c r="AX522" s="5">
        <v>3.2190486066142143</v>
      </c>
      <c r="AY522" t="s">
        <v>59</v>
      </c>
      <c r="AZ522" t="s">
        <v>60</v>
      </c>
      <c r="BA522" s="23">
        <f t="shared" si="8"/>
        <v>0</v>
      </c>
      <c r="BB522" s="23">
        <f>IF(AND(ISNUMBER(H522),Metadata!$H$5&gt;Metadata!$G$5),MAX(Metadata!$G$5-H522,0,H522-Metadata!$H$5)/(Metadata!$H$5-Metadata!$G$5),"Missing input")</f>
        <v>0</v>
      </c>
      <c r="BC522" s="23">
        <f>IF(AND(ISNUMBER(L522),Metadata!$H$8&gt;Metadata!$G$8),MAX(Metadata!$G$8-L522,0,L522-Metadata!$H$8)/(Metadata!$H$8-Metadata!$G$8),"Missing input")</f>
        <v>0</v>
      </c>
    </row>
    <row r="523" spans="1:55" x14ac:dyDescent="0.2">
      <c r="A523" t="s">
        <v>615</v>
      </c>
      <c r="B523" t="s">
        <v>614</v>
      </c>
      <c r="C523" t="s">
        <v>466</v>
      </c>
      <c r="D523" t="s">
        <v>55</v>
      </c>
      <c r="E523" t="s">
        <v>467</v>
      </c>
      <c r="F523">
        <v>2</v>
      </c>
      <c r="G523">
        <v>39.289372610104301</v>
      </c>
      <c r="H523">
        <v>11.43599740060767</v>
      </c>
      <c r="I523">
        <v>0.82</v>
      </c>
      <c r="J523">
        <v>0.45</v>
      </c>
      <c r="K523">
        <v>0.54</v>
      </c>
      <c r="L523">
        <v>0.25</v>
      </c>
      <c r="N523">
        <v>125</v>
      </c>
      <c r="O523">
        <v>10</v>
      </c>
      <c r="P523">
        <v>6</v>
      </c>
      <c r="Q523">
        <v>0.53616514621265798</v>
      </c>
      <c r="R523">
        <v>1301660.814121977</v>
      </c>
      <c r="S523">
        <v>-3.1551302843590978E-3</v>
      </c>
      <c r="T523">
        <v>574.46599981461486</v>
      </c>
      <c r="U523">
        <v>750.05745558684532</v>
      </c>
      <c r="V523">
        <v>127.0942477465962</v>
      </c>
      <c r="W523">
        <v>5.9015846026511687</v>
      </c>
      <c r="X523" t="s">
        <v>57</v>
      </c>
      <c r="Y523">
        <v>8</v>
      </c>
      <c r="Z523">
        <v>501.80500000000001</v>
      </c>
      <c r="AA523">
        <v>95.163399999999996</v>
      </c>
      <c r="AB523">
        <v>51.296399999999998</v>
      </c>
      <c r="AC523">
        <v>14.08192615042058</v>
      </c>
      <c r="AD523">
        <v>89.725932621286191</v>
      </c>
      <c r="AE523">
        <v>89.725932621286191</v>
      </c>
      <c r="AF523" t="s">
        <v>58</v>
      </c>
      <c r="AG523" t="b">
        <v>1</v>
      </c>
      <c r="AH523">
        <v>6.3717087891848063</v>
      </c>
      <c r="AI523">
        <v>498.13099999999997</v>
      </c>
      <c r="AJ523">
        <v>91.310100000000006</v>
      </c>
      <c r="AK523">
        <v>51.757599999999996</v>
      </c>
      <c r="AL523">
        <v>13.6326888336714</v>
      </c>
      <c r="AM523">
        <v>89.328257565045888</v>
      </c>
      <c r="AN523">
        <v>89.328257565045888</v>
      </c>
      <c r="AO523" t="s">
        <v>58</v>
      </c>
      <c r="AP523" t="b">
        <v>1</v>
      </c>
      <c r="AQ523">
        <v>6.5525046933084754</v>
      </c>
      <c r="AR523">
        <v>501.80500000000001</v>
      </c>
      <c r="AS523">
        <v>89.725932621286191</v>
      </c>
      <c r="AT523">
        <v>6.5525046933084754</v>
      </c>
      <c r="AU523" s="5">
        <v>67.025271668100785</v>
      </c>
      <c r="AV523" s="5">
        <v>95.737570106912358</v>
      </c>
      <c r="AW523" s="5">
        <v>4.894721005901431</v>
      </c>
      <c r="AX523" s="5">
        <v>6.9915225077601431</v>
      </c>
      <c r="AY523" t="s">
        <v>59</v>
      </c>
      <c r="AZ523" t="s">
        <v>60</v>
      </c>
      <c r="BA523" s="23">
        <f t="shared" si="8"/>
        <v>0</v>
      </c>
      <c r="BB523" s="23">
        <f>IF(AND(ISNUMBER(H523),Metadata!$H$5&gt;Metadata!$G$5),MAX(Metadata!$G$5-H523,0,H523-Metadata!$H$5)/(Metadata!$H$5-Metadata!$G$5),"Missing input")</f>
        <v>0</v>
      </c>
      <c r="BC523" s="23">
        <f>IF(AND(ISNUMBER(L523),Metadata!$H$8&gt;Metadata!$G$8),MAX(Metadata!$G$8-L523,0,L523-Metadata!$H$8)/(Metadata!$H$8-Metadata!$G$8),"Missing input")</f>
        <v>0</v>
      </c>
    </row>
    <row r="524" spans="1:55" x14ac:dyDescent="0.2">
      <c r="A524" t="s">
        <v>616</v>
      </c>
      <c r="B524" t="s">
        <v>614</v>
      </c>
      <c r="C524" t="s">
        <v>466</v>
      </c>
      <c r="D524" t="s">
        <v>55</v>
      </c>
      <c r="E524" t="s">
        <v>467</v>
      </c>
      <c r="F524">
        <v>3</v>
      </c>
      <c r="G524">
        <v>50.720967279676117</v>
      </c>
      <c r="H524">
        <v>41.572102032205443</v>
      </c>
      <c r="I524">
        <v>0.82</v>
      </c>
      <c r="J524">
        <v>0.45</v>
      </c>
      <c r="K524">
        <v>0.54</v>
      </c>
      <c r="L524">
        <v>0.25</v>
      </c>
      <c r="N524">
        <v>125</v>
      </c>
      <c r="O524">
        <v>10</v>
      </c>
      <c r="P524">
        <v>6</v>
      </c>
      <c r="Q524">
        <v>0.53616514621265798</v>
      </c>
      <c r="R524">
        <v>6279453.0057685468</v>
      </c>
      <c r="S524">
        <v>-5.134024031023806E-3</v>
      </c>
      <c r="T524">
        <v>2693.2611829617858</v>
      </c>
      <c r="U524">
        <v>792.59154081609961</v>
      </c>
      <c r="V524">
        <v>595.85424401809428</v>
      </c>
      <c r="W524">
        <v>1.3301768826404989</v>
      </c>
      <c r="X524" t="s">
        <v>57</v>
      </c>
      <c r="Y524">
        <v>8</v>
      </c>
      <c r="Z524">
        <v>951.87599999999998</v>
      </c>
      <c r="AA524">
        <v>95.163399999999996</v>
      </c>
      <c r="AB524">
        <v>26.727599999999999</v>
      </c>
      <c r="AC524">
        <v>12.59529633885102</v>
      </c>
      <c r="AD524">
        <v>27.81503440838496</v>
      </c>
      <c r="AE524">
        <v>27.81503440838496</v>
      </c>
      <c r="AF524" t="s">
        <v>58</v>
      </c>
      <c r="AG524" t="b">
        <v>1</v>
      </c>
      <c r="AH524">
        <v>2.2083668109171559</v>
      </c>
      <c r="AI524">
        <v>954.65499999999997</v>
      </c>
      <c r="AJ524">
        <v>91.310100000000006</v>
      </c>
      <c r="AK524">
        <v>27.359300000000001</v>
      </c>
      <c r="AL524">
        <v>11.656807996646441</v>
      </c>
      <c r="AM524">
        <v>28.71430398301063</v>
      </c>
      <c r="AN524">
        <v>28.71430398301063</v>
      </c>
      <c r="AO524" t="s">
        <v>58</v>
      </c>
      <c r="AP524" t="b">
        <v>1</v>
      </c>
      <c r="AQ524">
        <v>2.4633076217152658</v>
      </c>
      <c r="AR524">
        <v>954.65499999999997</v>
      </c>
      <c r="AS524">
        <v>28.71430398301063</v>
      </c>
      <c r="AT524">
        <v>2.4633076217152658</v>
      </c>
      <c r="AU524" s="5">
        <v>21.449585075308942</v>
      </c>
      <c r="AV524" s="5">
        <v>30.638162349872342</v>
      </c>
      <c r="AW524" s="5">
        <v>1.8400907934213035</v>
      </c>
      <c r="AX524" s="5">
        <v>2.6283492323701885</v>
      </c>
      <c r="AY524" t="s">
        <v>64</v>
      </c>
      <c r="AZ524" t="s">
        <v>7</v>
      </c>
      <c r="BA524" s="23">
        <f t="shared" si="8"/>
        <v>4.6063612035701466E-2</v>
      </c>
      <c r="BB524" s="23">
        <f>IF(AND(ISNUMBER(H524),Metadata!$H$5&gt;Metadata!$G$5),MAX(Metadata!$G$5-H524,0,H524-Metadata!$H$5)/(Metadata!$H$5-Metadata!$G$5),"Missing input")</f>
        <v>4.6063612035701466E-2</v>
      </c>
      <c r="BC524" s="23">
        <f>IF(AND(ISNUMBER(L524),Metadata!$H$8&gt;Metadata!$G$8),MAX(Metadata!$G$8-L524,0,L524-Metadata!$H$8)/(Metadata!$H$8-Metadata!$G$8),"Missing input")</f>
        <v>0</v>
      </c>
    </row>
    <row r="525" spans="1:55" x14ac:dyDescent="0.2">
      <c r="A525" t="s">
        <v>617</v>
      </c>
      <c r="B525" t="s">
        <v>614</v>
      </c>
      <c r="C525" t="s">
        <v>466</v>
      </c>
      <c r="D525" t="s">
        <v>55</v>
      </c>
      <c r="E525" t="s">
        <v>467</v>
      </c>
      <c r="F525">
        <v>4</v>
      </c>
      <c r="G525">
        <v>40.065365059576777</v>
      </c>
      <c r="H525">
        <v>25.23064360495534</v>
      </c>
      <c r="I525">
        <v>0.82</v>
      </c>
      <c r="J525">
        <v>0.45</v>
      </c>
      <c r="K525">
        <v>0.54</v>
      </c>
      <c r="L525">
        <v>0.25</v>
      </c>
      <c r="N525">
        <v>125</v>
      </c>
      <c r="O525">
        <v>10</v>
      </c>
      <c r="P525">
        <v>6</v>
      </c>
      <c r="Q525">
        <v>0.53616514621265798</v>
      </c>
      <c r="R525">
        <v>2986346.165161836</v>
      </c>
      <c r="S525">
        <v>-4.666369278087122E-3</v>
      </c>
      <c r="T525">
        <v>1217.321391370202</v>
      </c>
      <c r="U525">
        <v>753.12627800274458</v>
      </c>
      <c r="V525">
        <v>269.31889189606238</v>
      </c>
      <c r="W525">
        <v>2.7964108744862828</v>
      </c>
      <c r="X525" t="s">
        <v>57</v>
      </c>
      <c r="Y525">
        <v>8</v>
      </c>
      <c r="Z525">
        <v>707.97900000000004</v>
      </c>
      <c r="AA525">
        <v>95.163399999999996</v>
      </c>
      <c r="AB525">
        <v>37.809100000000001</v>
      </c>
      <c r="AC525">
        <v>13.6487113471971</v>
      </c>
      <c r="AD525">
        <v>45.008723348017618</v>
      </c>
      <c r="AE525">
        <v>45.008723348017618</v>
      </c>
      <c r="AF525" t="s">
        <v>58</v>
      </c>
      <c r="AG525" t="b">
        <v>1</v>
      </c>
      <c r="AH525">
        <v>3.29765369074646</v>
      </c>
      <c r="AI525">
        <v>707.3</v>
      </c>
      <c r="AJ525">
        <v>91.310100000000006</v>
      </c>
      <c r="AK525">
        <v>38.312600000000003</v>
      </c>
      <c r="AL525">
        <v>13.398491497005979</v>
      </c>
      <c r="AM525">
        <v>44.677697608193881</v>
      </c>
      <c r="AN525">
        <v>44.677697608193881</v>
      </c>
      <c r="AO525" t="s">
        <v>58</v>
      </c>
      <c r="AP525" t="b">
        <v>1</v>
      </c>
      <c r="AQ525">
        <v>3.3345319223568972</v>
      </c>
      <c r="AR525">
        <v>707.97900000000004</v>
      </c>
      <c r="AS525">
        <v>45.008723348017618</v>
      </c>
      <c r="AT525">
        <v>3.3345319223568972</v>
      </c>
      <c r="AU525" s="5">
        <v>33.621516340969158</v>
      </c>
      <c r="AV525" s="5">
        <v>48.024307812334797</v>
      </c>
      <c r="AW525" s="5">
        <v>2.490895346000602</v>
      </c>
      <c r="AX525" s="5">
        <v>3.557945561154809</v>
      </c>
      <c r="AY525" t="s">
        <v>59</v>
      </c>
      <c r="AZ525" t="s">
        <v>60</v>
      </c>
      <c r="BA525" s="23">
        <f t="shared" si="8"/>
        <v>0</v>
      </c>
      <c r="BB525" s="23">
        <f>IF(AND(ISNUMBER(H525),Metadata!$H$5&gt;Metadata!$G$5),MAX(Metadata!$G$5-H525,0,H525-Metadata!$H$5)/(Metadata!$H$5-Metadata!$G$5),"Missing input")</f>
        <v>0</v>
      </c>
      <c r="BC525" s="23">
        <f>IF(AND(ISNUMBER(L525),Metadata!$H$8&gt;Metadata!$G$8),MAX(Metadata!$G$8-L525,0,L525-Metadata!$H$8)/(Metadata!$H$8-Metadata!$G$8),"Missing input")</f>
        <v>0</v>
      </c>
    </row>
    <row r="526" spans="1:55" x14ac:dyDescent="0.2">
      <c r="A526" t="s">
        <v>618</v>
      </c>
      <c r="B526" t="s">
        <v>614</v>
      </c>
      <c r="C526" t="s">
        <v>466</v>
      </c>
      <c r="D526" t="s">
        <v>55</v>
      </c>
      <c r="E526" t="s">
        <v>467</v>
      </c>
      <c r="F526">
        <v>5</v>
      </c>
      <c r="G526">
        <v>44.691650234033148</v>
      </c>
      <c r="H526">
        <v>35.278860063057749</v>
      </c>
      <c r="I526">
        <v>0.82</v>
      </c>
      <c r="J526">
        <v>0.45</v>
      </c>
      <c r="K526">
        <v>0.54</v>
      </c>
      <c r="L526">
        <v>0.25</v>
      </c>
      <c r="N526">
        <v>125</v>
      </c>
      <c r="O526">
        <v>10</v>
      </c>
      <c r="P526">
        <v>6</v>
      </c>
      <c r="Q526">
        <v>0.53616514621265798</v>
      </c>
      <c r="R526">
        <v>4683732.748780732</v>
      </c>
      <c r="S526">
        <v>-5.1182181259793891E-3</v>
      </c>
      <c r="T526">
        <v>1958.040305211005</v>
      </c>
      <c r="U526">
        <v>770.83560231362162</v>
      </c>
      <c r="V526">
        <v>433.19475779004551</v>
      </c>
      <c r="W526">
        <v>1.779420430307282</v>
      </c>
      <c r="X526" t="s">
        <v>57</v>
      </c>
      <c r="Y526">
        <v>8</v>
      </c>
      <c r="Z526">
        <v>839.83900000000006</v>
      </c>
      <c r="AA526">
        <v>95.163399999999996</v>
      </c>
      <c r="AB526">
        <v>30.505400000000002</v>
      </c>
      <c r="AC526">
        <v>12.841757317546589</v>
      </c>
      <c r="AD526">
        <v>32.86751900008619</v>
      </c>
      <c r="AE526">
        <v>32.86751900008619</v>
      </c>
      <c r="AF526" t="s">
        <v>58</v>
      </c>
      <c r="AG526" t="b">
        <v>1</v>
      </c>
      <c r="AH526">
        <v>2.5594253331027379</v>
      </c>
      <c r="AI526">
        <v>843.81399999999996</v>
      </c>
      <c r="AJ526">
        <v>91.310100000000006</v>
      </c>
      <c r="AK526">
        <v>31.0032</v>
      </c>
      <c r="AL526">
        <v>12.33507058697055</v>
      </c>
      <c r="AM526">
        <v>32.380187765684937</v>
      </c>
      <c r="AN526">
        <v>32.380187765684937</v>
      </c>
      <c r="AO526" t="s">
        <v>58</v>
      </c>
      <c r="AP526" t="b">
        <v>1</v>
      </c>
      <c r="AQ526">
        <v>2.6250508691768579</v>
      </c>
      <c r="AR526">
        <v>843.81399999999996</v>
      </c>
      <c r="AS526">
        <v>32.86751900008619</v>
      </c>
      <c r="AT526">
        <v>2.6250508691768579</v>
      </c>
      <c r="AU526" s="5">
        <v>24.552036693064384</v>
      </c>
      <c r="AV526" s="5">
        <v>35.069642773091964</v>
      </c>
      <c r="AW526" s="5">
        <v>1.9609129992751129</v>
      </c>
      <c r="AX526" s="5">
        <v>2.8009292774117074</v>
      </c>
      <c r="AY526" t="s">
        <v>59</v>
      </c>
      <c r="AZ526" t="s">
        <v>60</v>
      </c>
      <c r="BA526" s="23">
        <f t="shared" si="8"/>
        <v>0</v>
      </c>
      <c r="BB526" s="23">
        <f>IF(AND(ISNUMBER(H526),Metadata!$H$5&gt;Metadata!$G$5),MAX(Metadata!$G$5-H526,0,H526-Metadata!$H$5)/(Metadata!$H$5-Metadata!$G$5),"Missing input")</f>
        <v>0</v>
      </c>
      <c r="BC526" s="23">
        <f>IF(AND(ISNUMBER(L526),Metadata!$H$8&gt;Metadata!$G$8),MAX(Metadata!$G$8-L526,0,L526-Metadata!$H$8)/(Metadata!$H$8-Metadata!$G$8),"Missing input")</f>
        <v>0</v>
      </c>
    </row>
    <row r="527" spans="1:55" x14ac:dyDescent="0.2">
      <c r="A527" t="s">
        <v>619</v>
      </c>
      <c r="B527" t="s">
        <v>614</v>
      </c>
      <c r="C527" t="s">
        <v>466</v>
      </c>
      <c r="D527" t="s">
        <v>55</v>
      </c>
      <c r="E527" t="s">
        <v>467</v>
      </c>
      <c r="F527">
        <v>6</v>
      </c>
      <c r="G527">
        <v>33.086500490231572</v>
      </c>
      <c r="H527">
        <v>19.79580616436397</v>
      </c>
      <c r="I527">
        <v>0.82</v>
      </c>
      <c r="J527">
        <v>0.45</v>
      </c>
      <c r="K527">
        <v>0.54</v>
      </c>
      <c r="L527">
        <v>0.25</v>
      </c>
      <c r="N527">
        <v>125</v>
      </c>
      <c r="O527">
        <v>10</v>
      </c>
      <c r="P527">
        <v>6</v>
      </c>
      <c r="Q527">
        <v>0.53616514621265798</v>
      </c>
      <c r="R527">
        <v>1918643.176085273</v>
      </c>
      <c r="S527">
        <v>-4.1705755300736518E-3</v>
      </c>
      <c r="T527">
        <v>808.21862217355283</v>
      </c>
      <c r="U527">
        <v>724.34809556380162</v>
      </c>
      <c r="V527">
        <v>178.80942968441431</v>
      </c>
      <c r="W527">
        <v>4.0509502034776554</v>
      </c>
      <c r="X527" t="s">
        <v>57</v>
      </c>
      <c r="Y527">
        <v>8</v>
      </c>
      <c r="Z527">
        <v>564.25699999999995</v>
      </c>
      <c r="AA527">
        <v>95.163399999999996</v>
      </c>
      <c r="AB527">
        <v>43.117199999999997</v>
      </c>
      <c r="AC527">
        <v>14.07583078191238</v>
      </c>
      <c r="AD527">
        <v>56.323387523163909</v>
      </c>
      <c r="AE527">
        <v>56.323387523163909</v>
      </c>
      <c r="AF527" t="s">
        <v>58</v>
      </c>
      <c r="AG527" t="b">
        <v>1</v>
      </c>
      <c r="AH527">
        <v>4.0014254501794788</v>
      </c>
      <c r="AI527">
        <v>561.43600000000004</v>
      </c>
      <c r="AJ527">
        <v>91.310100000000006</v>
      </c>
      <c r="AK527">
        <v>39.358900000000013</v>
      </c>
      <c r="AL527">
        <v>13.729183778835591</v>
      </c>
      <c r="AM527">
        <v>55.993737903380477</v>
      </c>
      <c r="AN527">
        <v>55.993737903380477</v>
      </c>
      <c r="AO527" t="s">
        <v>58</v>
      </c>
      <c r="AP527" t="b">
        <v>1</v>
      </c>
      <c r="AQ527">
        <v>4.0784462357986921</v>
      </c>
      <c r="AR527">
        <v>564.25699999999995</v>
      </c>
      <c r="AS527">
        <v>56.323387523163909</v>
      </c>
      <c r="AT527">
        <v>4.0784462357986921</v>
      </c>
      <c r="AU527" s="5">
        <v>42.073570479803443</v>
      </c>
      <c r="AV527" s="5">
        <v>60.097054487215885</v>
      </c>
      <c r="AW527" s="5">
        <v>3.0465993381416232</v>
      </c>
      <c r="AX527" s="5">
        <v>4.3517021335972039</v>
      </c>
      <c r="AY527" t="s">
        <v>59</v>
      </c>
      <c r="AZ527" t="s">
        <v>60</v>
      </c>
      <c r="BA527" s="23">
        <f t="shared" si="8"/>
        <v>0</v>
      </c>
      <c r="BB527" s="23">
        <f>IF(AND(ISNUMBER(H527),Metadata!$H$5&gt;Metadata!$G$5),MAX(Metadata!$G$5-H527,0,H527-Metadata!$H$5)/(Metadata!$H$5-Metadata!$G$5),"Missing input")</f>
        <v>0</v>
      </c>
      <c r="BC527" s="23">
        <f>IF(AND(ISNUMBER(L527),Metadata!$H$8&gt;Metadata!$G$8),MAX(Metadata!$G$8-L527,0,L527-Metadata!$H$8)/(Metadata!$H$8-Metadata!$G$8),"Missing input")</f>
        <v>0</v>
      </c>
    </row>
    <row r="528" spans="1:55" x14ac:dyDescent="0.2">
      <c r="A528" t="s">
        <v>620</v>
      </c>
      <c r="B528" t="s">
        <v>614</v>
      </c>
      <c r="C528" t="s">
        <v>466</v>
      </c>
      <c r="D528" t="s">
        <v>55</v>
      </c>
      <c r="E528" t="s">
        <v>467</v>
      </c>
      <c r="F528">
        <v>7</v>
      </c>
      <c r="G528">
        <v>42.943727860216583</v>
      </c>
      <c r="H528">
        <v>31.604415760045629</v>
      </c>
      <c r="I528">
        <v>0.82</v>
      </c>
      <c r="J528">
        <v>0.45</v>
      </c>
      <c r="K528">
        <v>0.54</v>
      </c>
      <c r="L528">
        <v>0.25</v>
      </c>
      <c r="N528">
        <v>125</v>
      </c>
      <c r="O528">
        <v>10</v>
      </c>
      <c r="P528">
        <v>6</v>
      </c>
      <c r="Q528">
        <v>0.53616514621265798</v>
      </c>
      <c r="R528">
        <v>4025355.613741619</v>
      </c>
      <c r="S528">
        <v>-5.0203110474752602E-3</v>
      </c>
      <c r="T528">
        <v>1662.4085351544279</v>
      </c>
      <c r="U528">
        <v>764.25751687900618</v>
      </c>
      <c r="V528">
        <v>367.7894989279709</v>
      </c>
      <c r="W528">
        <v>2.0779753611961631</v>
      </c>
      <c r="X528" t="s">
        <v>57</v>
      </c>
      <c r="Y528">
        <v>8</v>
      </c>
      <c r="Z528">
        <v>797.08199999999999</v>
      </c>
      <c r="AA528">
        <v>95.163399999999996</v>
      </c>
      <c r="AB528">
        <v>33.275799999999997</v>
      </c>
      <c r="AC528">
        <v>13.19318098259073</v>
      </c>
      <c r="AD528">
        <v>36.892385187612327</v>
      </c>
      <c r="AE528">
        <v>36.892385187612327</v>
      </c>
      <c r="AF528" t="s">
        <v>58</v>
      </c>
      <c r="AG528" t="b">
        <v>1</v>
      </c>
      <c r="AH528">
        <v>2.796322224056067</v>
      </c>
      <c r="AI528">
        <v>794.90499999999997</v>
      </c>
      <c r="AJ528">
        <v>91.310100000000006</v>
      </c>
      <c r="AK528">
        <v>32.289299999999997</v>
      </c>
      <c r="AL528">
        <v>12.617201549106049</v>
      </c>
      <c r="AM528">
        <v>36.572732727466168</v>
      </c>
      <c r="AN528">
        <v>36.572732727466168</v>
      </c>
      <c r="AO528" t="s">
        <v>58</v>
      </c>
      <c r="AP528" t="b">
        <v>1</v>
      </c>
      <c r="AQ528">
        <v>2.89864060466383</v>
      </c>
      <c r="AR528">
        <v>797.08199999999999</v>
      </c>
      <c r="AS528">
        <v>36.892385187612327</v>
      </c>
      <c r="AT528">
        <v>2.89864060466383</v>
      </c>
      <c r="AU528" s="5">
        <v>27.558611735146407</v>
      </c>
      <c r="AV528" s="5">
        <v>39.364174995182353</v>
      </c>
      <c r="AW528" s="5">
        <v>2.1652845316838811</v>
      </c>
      <c r="AX528" s="5">
        <v>3.0928495251763066</v>
      </c>
      <c r="AY528" t="s">
        <v>59</v>
      </c>
      <c r="AZ528" t="s">
        <v>60</v>
      </c>
      <c r="BA528" s="23">
        <f t="shared" si="8"/>
        <v>0</v>
      </c>
      <c r="BB528" s="23">
        <f>IF(AND(ISNUMBER(H528),Metadata!$H$5&gt;Metadata!$G$5),MAX(Metadata!$G$5-H528,0,H528-Metadata!$H$5)/(Metadata!$H$5-Metadata!$G$5),"Missing input")</f>
        <v>0</v>
      </c>
      <c r="BC528" s="23">
        <f>IF(AND(ISNUMBER(L528),Metadata!$H$8&gt;Metadata!$G$8),MAX(Metadata!$G$8-L528,0,L528-Metadata!$H$8)/(Metadata!$H$8-Metadata!$G$8),"Missing input")</f>
        <v>0</v>
      </c>
    </row>
    <row r="529" spans="1:55" x14ac:dyDescent="0.2">
      <c r="A529" t="s">
        <v>621</v>
      </c>
      <c r="B529" t="s">
        <v>614</v>
      </c>
      <c r="C529" t="s">
        <v>466</v>
      </c>
      <c r="D529" t="s">
        <v>55</v>
      </c>
      <c r="E529" t="s">
        <v>467</v>
      </c>
      <c r="F529">
        <v>8</v>
      </c>
      <c r="G529">
        <v>29.155454969686971</v>
      </c>
      <c r="H529">
        <v>7.3398505058277053</v>
      </c>
      <c r="I529">
        <v>0.82</v>
      </c>
      <c r="J529">
        <v>0.45</v>
      </c>
      <c r="K529">
        <v>0.54</v>
      </c>
      <c r="L529">
        <v>0.25</v>
      </c>
      <c r="N529">
        <v>125</v>
      </c>
      <c r="O529">
        <v>10</v>
      </c>
      <c r="P529">
        <v>6</v>
      </c>
      <c r="Q529">
        <v>0.53616514621265798</v>
      </c>
      <c r="R529">
        <v>595711.36772068124</v>
      </c>
      <c r="S529">
        <v>-2.6299674175446421E-3</v>
      </c>
      <c r="T529">
        <v>373.40701152109853</v>
      </c>
      <c r="U529">
        <v>706.7858992589853</v>
      </c>
      <c r="V529">
        <v>82.612170690508535</v>
      </c>
      <c r="W529">
        <v>8.5554694102740623</v>
      </c>
      <c r="X529" t="s">
        <v>57</v>
      </c>
      <c r="Y529">
        <v>8</v>
      </c>
      <c r="Z529">
        <v>364.76799999999997</v>
      </c>
      <c r="AA529">
        <v>95.163399999999996</v>
      </c>
      <c r="AB529">
        <v>51.296399999999998</v>
      </c>
      <c r="AC529">
        <v>15.17451839348079</v>
      </c>
      <c r="AE529">
        <v>95.163399999999996</v>
      </c>
      <c r="AF529" t="s">
        <v>62</v>
      </c>
      <c r="AG529" t="b">
        <v>0</v>
      </c>
      <c r="AH529">
        <v>6.2712632804797073</v>
      </c>
      <c r="AI529">
        <v>361.38200000000001</v>
      </c>
      <c r="AJ529">
        <v>91.310100000000006</v>
      </c>
      <c r="AK529">
        <v>32.289299999999997</v>
      </c>
      <c r="AL529">
        <v>14.69682711189739</v>
      </c>
      <c r="AN529">
        <v>91.310100000000006</v>
      </c>
      <c r="AO529" t="s">
        <v>62</v>
      </c>
      <c r="AP529" t="b">
        <v>0</v>
      </c>
      <c r="AQ529">
        <v>6.2129124405418494</v>
      </c>
      <c r="AR529">
        <v>364.76799999999997</v>
      </c>
      <c r="AS529">
        <v>95.163399999999996</v>
      </c>
      <c r="AT529">
        <v>6.2712632804797073</v>
      </c>
      <c r="AU529" s="5">
        <v>71.087059799999992</v>
      </c>
      <c r="AV529" s="5">
        <v>101.53934779999999</v>
      </c>
      <c r="AW529" s="5">
        <v>4.6846336705183411</v>
      </c>
      <c r="AX529" s="5">
        <v>6.6914379202718477</v>
      </c>
      <c r="AY529" t="s">
        <v>59</v>
      </c>
      <c r="AZ529" t="s">
        <v>60</v>
      </c>
      <c r="BA529" s="23">
        <f t="shared" si="8"/>
        <v>0</v>
      </c>
      <c r="BB529" s="23">
        <f>IF(AND(ISNUMBER(H529),Metadata!$H$5&gt;Metadata!$G$5),MAX(Metadata!$G$5-H529,0,H529-Metadata!$H$5)/(Metadata!$H$5-Metadata!$G$5),"Missing input")</f>
        <v>0</v>
      </c>
      <c r="BC529" s="23">
        <f>IF(AND(ISNUMBER(L529),Metadata!$H$8&gt;Metadata!$G$8),MAX(Metadata!$G$8-L529,0,L529-Metadata!$H$8)/(Metadata!$H$8-Metadata!$G$8),"Missing input")</f>
        <v>0</v>
      </c>
    </row>
    <row r="530" spans="1:55" x14ac:dyDescent="0.2">
      <c r="A530" t="s">
        <v>622</v>
      </c>
      <c r="B530" t="s">
        <v>614</v>
      </c>
      <c r="C530" t="s">
        <v>466</v>
      </c>
      <c r="D530" t="s">
        <v>55</v>
      </c>
      <c r="E530" t="s">
        <v>467</v>
      </c>
      <c r="F530">
        <v>9</v>
      </c>
      <c r="G530">
        <v>59.748609235827082</v>
      </c>
      <c r="H530">
        <v>37.783512331141722</v>
      </c>
      <c r="I530">
        <v>0.82</v>
      </c>
      <c r="J530">
        <v>0.45</v>
      </c>
      <c r="K530">
        <v>0.54</v>
      </c>
      <c r="L530">
        <v>0.25</v>
      </c>
      <c r="N530">
        <v>125</v>
      </c>
      <c r="O530">
        <v>10</v>
      </c>
      <c r="P530">
        <v>6</v>
      </c>
      <c r="Q530">
        <v>0.53616514621265798</v>
      </c>
      <c r="R530">
        <v>6726258.2664913209</v>
      </c>
      <c r="S530">
        <v>-5.1458058898427349E-3</v>
      </c>
      <c r="T530">
        <v>2856.6585784848312</v>
      </c>
      <c r="U530">
        <v>822.87545002106197</v>
      </c>
      <c r="V530">
        <v>632.00411028425481</v>
      </c>
      <c r="W530">
        <v>1.302009649353324</v>
      </c>
      <c r="X530" t="s">
        <v>57</v>
      </c>
      <c r="Y530">
        <v>8</v>
      </c>
      <c r="Z530">
        <v>1086.78</v>
      </c>
      <c r="AA530">
        <v>95.163399999999996</v>
      </c>
      <c r="AB530">
        <v>29.246099999999998</v>
      </c>
      <c r="AC530">
        <v>13.35487191846066</v>
      </c>
      <c r="AD530">
        <v>30.57832104519294</v>
      </c>
      <c r="AE530">
        <v>30.57832104519294</v>
      </c>
      <c r="AF530" t="s">
        <v>58</v>
      </c>
      <c r="AG530" t="b">
        <v>1</v>
      </c>
      <c r="AH530">
        <v>2.289675350830136</v>
      </c>
      <c r="AI530">
        <v>1088.3800000000001</v>
      </c>
      <c r="AJ530">
        <v>91.310100000000006</v>
      </c>
      <c r="AK530">
        <v>29.9315</v>
      </c>
      <c r="AL530">
        <v>12.55823169834458</v>
      </c>
      <c r="AM530">
        <v>31.492145376715509</v>
      </c>
      <c r="AN530">
        <v>31.492145376715509</v>
      </c>
      <c r="AO530" t="s">
        <v>58</v>
      </c>
      <c r="AP530" t="b">
        <v>1</v>
      </c>
      <c r="AQ530">
        <v>2.5076894688021079</v>
      </c>
      <c r="AR530">
        <v>1088.3800000000001</v>
      </c>
      <c r="AS530">
        <v>31.492145376715509</v>
      </c>
      <c r="AT530">
        <v>2.5076894688021079</v>
      </c>
      <c r="AU530" s="5">
        <v>23.524632596406484</v>
      </c>
      <c r="AV530" s="5">
        <v>33.60211911695545</v>
      </c>
      <c r="AW530" s="5">
        <v>1.8732440331951745</v>
      </c>
      <c r="AX530" s="5">
        <v>2.6757046632118491</v>
      </c>
      <c r="AY530" t="s">
        <v>59</v>
      </c>
      <c r="AZ530" t="s">
        <v>60</v>
      </c>
      <c r="BA530" s="23">
        <f t="shared" si="8"/>
        <v>0</v>
      </c>
      <c r="BB530" s="23">
        <f>IF(AND(ISNUMBER(H530),Metadata!$H$5&gt;Metadata!$G$5),MAX(Metadata!$G$5-H530,0,H530-Metadata!$H$5)/(Metadata!$H$5-Metadata!$G$5),"Missing input")</f>
        <v>0</v>
      </c>
      <c r="BC530" s="23">
        <f>IF(AND(ISNUMBER(L530),Metadata!$H$8&gt;Metadata!$G$8),MAX(Metadata!$G$8-L530,0,L530-Metadata!$H$8)/(Metadata!$H$8-Metadata!$G$8),"Missing input")</f>
        <v>0</v>
      </c>
    </row>
    <row r="531" spans="1:55" x14ac:dyDescent="0.2">
      <c r="A531" t="s">
        <v>623</v>
      </c>
      <c r="B531" t="s">
        <v>614</v>
      </c>
      <c r="C531" t="s">
        <v>466</v>
      </c>
      <c r="D531" t="s">
        <v>55</v>
      </c>
      <c r="E531" t="s">
        <v>467</v>
      </c>
      <c r="F531">
        <v>10</v>
      </c>
      <c r="G531">
        <v>34.746337553007109</v>
      </c>
      <c r="H531">
        <v>23.7414613202046</v>
      </c>
      <c r="I531">
        <v>0.82</v>
      </c>
      <c r="J531">
        <v>0.45</v>
      </c>
      <c r="K531">
        <v>0.54</v>
      </c>
      <c r="L531">
        <v>0.25</v>
      </c>
      <c r="N531">
        <v>125</v>
      </c>
      <c r="O531">
        <v>10</v>
      </c>
      <c r="P531">
        <v>6</v>
      </c>
      <c r="Q531">
        <v>0.53616514621265798</v>
      </c>
      <c r="R531">
        <v>2428507.8121004719</v>
      </c>
      <c r="S531">
        <v>-4.5477931188630007E-3</v>
      </c>
      <c r="T531">
        <v>1004.916406510548</v>
      </c>
      <c r="U531">
        <v>731.44834288856589</v>
      </c>
      <c r="V531">
        <v>222.3266386085283</v>
      </c>
      <c r="W531">
        <v>3.289971671710004</v>
      </c>
      <c r="X531" t="s">
        <v>57</v>
      </c>
      <c r="Y531">
        <v>8</v>
      </c>
      <c r="Z531">
        <v>622.649</v>
      </c>
      <c r="AA531">
        <v>95.163399999999996</v>
      </c>
      <c r="AB531">
        <v>37.809100000000001</v>
      </c>
      <c r="AC531">
        <v>13.74906520425178</v>
      </c>
      <c r="AD531">
        <v>47.053424965668327</v>
      </c>
      <c r="AE531">
        <v>47.053424965668327</v>
      </c>
      <c r="AF531" t="s">
        <v>58</v>
      </c>
      <c r="AG531" t="b">
        <v>1</v>
      </c>
      <c r="AH531">
        <v>3.4222999357889061</v>
      </c>
      <c r="AI531">
        <v>623.24400000000003</v>
      </c>
      <c r="AJ531">
        <v>91.310100000000006</v>
      </c>
      <c r="AK531">
        <v>39.358900000000013</v>
      </c>
      <c r="AL531">
        <v>13.610860455627339</v>
      </c>
      <c r="AM531">
        <v>47.465565860398613</v>
      </c>
      <c r="AN531">
        <v>47.465565860398613</v>
      </c>
      <c r="AO531" t="s">
        <v>58</v>
      </c>
      <c r="AP531" t="b">
        <v>1</v>
      </c>
      <c r="AQ531">
        <v>3.487330284161001</v>
      </c>
      <c r="AR531">
        <v>623.24400000000003</v>
      </c>
      <c r="AS531">
        <v>47.465565860398613</v>
      </c>
      <c r="AT531">
        <v>3.487330284161001</v>
      </c>
      <c r="AU531" s="5">
        <v>35.456777697717762</v>
      </c>
      <c r="AV531" s="5">
        <v>50.645758773045316</v>
      </c>
      <c r="AW531" s="5">
        <v>2.6050357222682679</v>
      </c>
      <c r="AX531" s="5">
        <v>3.7209814131997878</v>
      </c>
      <c r="AY531" t="s">
        <v>59</v>
      </c>
      <c r="AZ531" t="s">
        <v>60</v>
      </c>
      <c r="BA531" s="23">
        <f t="shared" si="8"/>
        <v>0</v>
      </c>
      <c r="BB531" s="23">
        <f>IF(AND(ISNUMBER(H531),Metadata!$H$5&gt;Metadata!$G$5),MAX(Metadata!$G$5-H531,0,H531-Metadata!$H$5)/(Metadata!$H$5-Metadata!$G$5),"Missing input")</f>
        <v>0</v>
      </c>
      <c r="BC531" s="23">
        <f>IF(AND(ISNUMBER(L531),Metadata!$H$8&gt;Metadata!$G$8),MAX(Metadata!$G$8-L531,0,L531-Metadata!$H$8)/(Metadata!$H$8-Metadata!$G$8),"Missing input")</f>
        <v>0</v>
      </c>
    </row>
    <row r="532" spans="1:55" x14ac:dyDescent="0.2">
      <c r="A532" t="s">
        <v>624</v>
      </c>
      <c r="B532" t="s">
        <v>614</v>
      </c>
      <c r="C532" t="s">
        <v>466</v>
      </c>
      <c r="D532" t="s">
        <v>55</v>
      </c>
      <c r="E532" t="s">
        <v>467</v>
      </c>
      <c r="F532">
        <v>11</v>
      </c>
      <c r="G532">
        <v>24.502161634428251</v>
      </c>
      <c r="H532">
        <v>33.048591474592847</v>
      </c>
      <c r="I532">
        <v>0.82</v>
      </c>
      <c r="J532">
        <v>0.45</v>
      </c>
      <c r="K532">
        <v>0.54</v>
      </c>
      <c r="L532">
        <v>0.25</v>
      </c>
      <c r="N532">
        <v>125</v>
      </c>
      <c r="O532">
        <v>10</v>
      </c>
      <c r="P532">
        <v>6</v>
      </c>
      <c r="Q532">
        <v>0.53616514621265798</v>
      </c>
      <c r="R532">
        <v>2383007.1153019848</v>
      </c>
      <c r="S532">
        <v>-5.0673984120044452E-3</v>
      </c>
      <c r="T532">
        <v>1029.5860052617111</v>
      </c>
      <c r="U532">
        <v>684.38581388777777</v>
      </c>
      <c r="V532">
        <v>227.7845144384317</v>
      </c>
      <c r="W532">
        <v>3.0045317855563081</v>
      </c>
      <c r="X532" t="s">
        <v>57</v>
      </c>
      <c r="Y532">
        <v>8</v>
      </c>
      <c r="Z532">
        <v>520.851</v>
      </c>
      <c r="AA532">
        <v>95.163399999999996</v>
      </c>
      <c r="AB532">
        <v>31.260899999999999</v>
      </c>
      <c r="AC532">
        <v>12.85032951766304</v>
      </c>
      <c r="AD532">
        <v>35.460514498132163</v>
      </c>
      <c r="AE532">
        <v>35.460514498132163</v>
      </c>
      <c r="AF532" t="s">
        <v>58</v>
      </c>
      <c r="AG532" t="b">
        <v>1</v>
      </c>
      <c r="AH532">
        <v>2.7595023496783448</v>
      </c>
      <c r="AI532">
        <v>524.70699999999999</v>
      </c>
      <c r="AJ532">
        <v>91.310100000000006</v>
      </c>
      <c r="AK532">
        <v>32.074900000000007</v>
      </c>
      <c r="AL532">
        <v>12.55769878347793</v>
      </c>
      <c r="AM532">
        <v>34.813031060787416</v>
      </c>
      <c r="AN532">
        <v>34.813031060787416</v>
      </c>
      <c r="AO532" t="s">
        <v>58</v>
      </c>
      <c r="AP532" t="b">
        <v>1</v>
      </c>
      <c r="AQ532">
        <v>2.772246066818441</v>
      </c>
      <c r="AR532">
        <v>524.70699999999999</v>
      </c>
      <c r="AS532">
        <v>35.460514498132163</v>
      </c>
      <c r="AT532">
        <v>2.772246066818441</v>
      </c>
      <c r="AU532" s="5">
        <v>26.489004330104727</v>
      </c>
      <c r="AV532" s="5">
        <v>37.836368969507014</v>
      </c>
      <c r="AW532" s="5">
        <v>2.0708678119133754</v>
      </c>
      <c r="AX532" s="5">
        <v>2.9579865532952763</v>
      </c>
      <c r="AY532" t="s">
        <v>59</v>
      </c>
      <c r="AZ532" t="s">
        <v>60</v>
      </c>
      <c r="BA532" s="23">
        <f t="shared" si="8"/>
        <v>0</v>
      </c>
      <c r="BB532" s="23">
        <f>IF(AND(ISNUMBER(H532),Metadata!$H$5&gt;Metadata!$G$5),MAX(Metadata!$G$5-H532,0,H532-Metadata!$H$5)/(Metadata!$H$5-Metadata!$G$5),"Missing input")</f>
        <v>0</v>
      </c>
      <c r="BC532" s="23">
        <f>IF(AND(ISNUMBER(L532),Metadata!$H$8&gt;Metadata!$G$8),MAX(Metadata!$G$8-L532,0,L532-Metadata!$H$8)/(Metadata!$H$8-Metadata!$G$8),"Missing input")</f>
        <v>0</v>
      </c>
    </row>
    <row r="533" spans="1:55" x14ac:dyDescent="0.2">
      <c r="A533" t="s">
        <v>625</v>
      </c>
      <c r="B533" t="s">
        <v>614</v>
      </c>
      <c r="C533" t="s">
        <v>466</v>
      </c>
      <c r="D533" t="s">
        <v>55</v>
      </c>
      <c r="E533" t="s">
        <v>467</v>
      </c>
      <c r="F533">
        <v>12</v>
      </c>
      <c r="G533">
        <v>56.241153781572699</v>
      </c>
      <c r="H533">
        <v>14.78764467513273</v>
      </c>
      <c r="I533">
        <v>0.82</v>
      </c>
      <c r="J533">
        <v>0.45</v>
      </c>
      <c r="K533">
        <v>0.54</v>
      </c>
      <c r="L533">
        <v>0.25</v>
      </c>
      <c r="N533">
        <v>125</v>
      </c>
      <c r="O533">
        <v>10</v>
      </c>
      <c r="P533">
        <v>6</v>
      </c>
      <c r="Q533">
        <v>0.53616514621265798</v>
      </c>
      <c r="R533">
        <v>2448743.9197241841</v>
      </c>
      <c r="S533">
        <v>-3.5846867266912138E-3</v>
      </c>
      <c r="T533">
        <v>953.33614332622915</v>
      </c>
      <c r="U533">
        <v>811.40111588676484</v>
      </c>
      <c r="V533">
        <v>210.9150759571304</v>
      </c>
      <c r="W533">
        <v>3.8470512940084309</v>
      </c>
      <c r="X533" t="s">
        <v>57</v>
      </c>
      <c r="Y533">
        <v>8</v>
      </c>
      <c r="Z533">
        <v>720.60500000000002</v>
      </c>
      <c r="AA533">
        <v>95.163399999999996</v>
      </c>
      <c r="AB533">
        <v>51.296399999999998</v>
      </c>
      <c r="AC533">
        <v>13.4690988410596</v>
      </c>
      <c r="AD533">
        <v>76.410490960635371</v>
      </c>
      <c r="AE533">
        <v>76.410490960635371</v>
      </c>
      <c r="AF533" t="s">
        <v>58</v>
      </c>
      <c r="AG533" t="b">
        <v>1</v>
      </c>
      <c r="AH533">
        <v>5.67302177096684</v>
      </c>
      <c r="AI533">
        <v>716.87300000000005</v>
      </c>
      <c r="AJ533">
        <v>91.310100000000006</v>
      </c>
      <c r="AK533">
        <v>51.757599999999996</v>
      </c>
      <c r="AL533">
        <v>13.170209875245311</v>
      </c>
      <c r="AM533">
        <v>75.948260741218164</v>
      </c>
      <c r="AN533">
        <v>75.948260741218164</v>
      </c>
      <c r="AO533" t="s">
        <v>58</v>
      </c>
      <c r="AP533" t="b">
        <v>1</v>
      </c>
      <c r="AQ533">
        <v>5.7666704980890486</v>
      </c>
      <c r="AR533">
        <v>720.60500000000002</v>
      </c>
      <c r="AS533">
        <v>76.410490960635371</v>
      </c>
      <c r="AT533">
        <v>5.7666704980890486</v>
      </c>
      <c r="AU533" s="5">
        <v>57.078636747594622</v>
      </c>
      <c r="AV533" s="5">
        <v>81.52999385499794</v>
      </c>
      <c r="AW533" s="5">
        <v>4.3077028620725191</v>
      </c>
      <c r="AX533" s="5">
        <v>6.1530374214610148</v>
      </c>
      <c r="AY533" t="s">
        <v>59</v>
      </c>
      <c r="AZ533" t="s">
        <v>60</v>
      </c>
      <c r="BA533" s="23">
        <f t="shared" si="8"/>
        <v>0</v>
      </c>
      <c r="BB533" s="23">
        <f>IF(AND(ISNUMBER(H533),Metadata!$H$5&gt;Metadata!$G$5),MAX(Metadata!$G$5-H533,0,H533-Metadata!$H$5)/(Metadata!$H$5-Metadata!$G$5),"Missing input")</f>
        <v>0</v>
      </c>
      <c r="BC533" s="23">
        <f>IF(AND(ISNUMBER(L533),Metadata!$H$8&gt;Metadata!$G$8),MAX(Metadata!$G$8-L533,0,L533-Metadata!$H$8)/(Metadata!$H$8-Metadata!$G$8),"Missing input")</f>
        <v>0</v>
      </c>
    </row>
    <row r="534" spans="1:55" x14ac:dyDescent="0.2">
      <c r="A534" t="s">
        <v>626</v>
      </c>
      <c r="B534" t="s">
        <v>614</v>
      </c>
      <c r="C534" t="s">
        <v>466</v>
      </c>
      <c r="D534" t="s">
        <v>55</v>
      </c>
      <c r="E534" t="s">
        <v>467</v>
      </c>
      <c r="F534">
        <v>13</v>
      </c>
      <c r="G534">
        <v>49.119901382435643</v>
      </c>
      <c r="H534">
        <v>22.54933477691009</v>
      </c>
      <c r="I534">
        <v>0.82</v>
      </c>
      <c r="J534">
        <v>0.45</v>
      </c>
      <c r="K534">
        <v>0.54</v>
      </c>
      <c r="L534">
        <v>0.25</v>
      </c>
      <c r="N534">
        <v>125</v>
      </c>
      <c r="O534">
        <v>10</v>
      </c>
      <c r="P534">
        <v>6</v>
      </c>
      <c r="Q534">
        <v>0.53616514621265798</v>
      </c>
      <c r="R534">
        <v>3276584.6264440492</v>
      </c>
      <c r="S534">
        <v>-4.4431908620731148E-3</v>
      </c>
      <c r="T534">
        <v>1306.83278984662</v>
      </c>
      <c r="U534">
        <v>786.94653369120795</v>
      </c>
      <c r="V534">
        <v>289.12229863863269</v>
      </c>
      <c r="W534">
        <v>2.721846559039689</v>
      </c>
      <c r="X534" t="s">
        <v>57</v>
      </c>
      <c r="Y534">
        <v>8</v>
      </c>
      <c r="Z534">
        <v>792.87800000000004</v>
      </c>
      <c r="AA534">
        <v>95.163399999999996</v>
      </c>
      <c r="AB534">
        <v>41.324300000000001</v>
      </c>
      <c r="AC534">
        <v>13.67356530108589</v>
      </c>
      <c r="AD534">
        <v>50.734152005036897</v>
      </c>
      <c r="AE534">
        <v>50.734152005036897</v>
      </c>
      <c r="AF534" t="s">
        <v>58</v>
      </c>
      <c r="AG534" t="b">
        <v>1</v>
      </c>
      <c r="AH534">
        <v>3.7103821050247849</v>
      </c>
      <c r="AI534">
        <v>791.42600000000004</v>
      </c>
      <c r="AJ534">
        <v>91.310100000000006</v>
      </c>
      <c r="AK534">
        <v>39.358900000000013</v>
      </c>
      <c r="AL534">
        <v>13.5057270727806</v>
      </c>
      <c r="AM534">
        <v>51.184869914695781</v>
      </c>
      <c r="AN534">
        <v>51.184869914695781</v>
      </c>
      <c r="AO534" t="s">
        <v>58</v>
      </c>
      <c r="AP534" t="b">
        <v>1</v>
      </c>
      <c r="AQ534">
        <v>3.7898640805391088</v>
      </c>
      <c r="AR534">
        <v>792.87800000000004</v>
      </c>
      <c r="AS534">
        <v>51.184869914695781</v>
      </c>
      <c r="AT534">
        <v>3.7898640805391088</v>
      </c>
      <c r="AU534" s="5">
        <v>38.235097826277752</v>
      </c>
      <c r="AV534" s="5">
        <v>54.614256198980399</v>
      </c>
      <c r="AW534" s="5">
        <v>2.8310284681627143</v>
      </c>
      <c r="AX534" s="5">
        <v>4.043784973935229</v>
      </c>
      <c r="AY534" t="s">
        <v>59</v>
      </c>
      <c r="AZ534" t="s">
        <v>60</v>
      </c>
      <c r="BA534" s="23">
        <f t="shared" si="8"/>
        <v>0</v>
      </c>
      <c r="BB534" s="23">
        <f>IF(AND(ISNUMBER(H534),Metadata!$H$5&gt;Metadata!$G$5),MAX(Metadata!$G$5-H534,0,H534-Metadata!$H$5)/(Metadata!$H$5-Metadata!$G$5),"Missing input")</f>
        <v>0</v>
      </c>
      <c r="BC534" s="23">
        <f>IF(AND(ISNUMBER(L534),Metadata!$H$8&gt;Metadata!$G$8),MAX(Metadata!$G$8-L534,0,L534-Metadata!$H$8)/(Metadata!$H$8-Metadata!$G$8),"Missing input")</f>
        <v>0</v>
      </c>
    </row>
    <row r="535" spans="1:55" x14ac:dyDescent="0.2">
      <c r="A535" t="s">
        <v>627</v>
      </c>
      <c r="B535" t="s">
        <v>614</v>
      </c>
      <c r="C535" t="s">
        <v>466</v>
      </c>
      <c r="D535" t="s">
        <v>55</v>
      </c>
      <c r="E535" t="s">
        <v>467</v>
      </c>
      <c r="F535">
        <v>14</v>
      </c>
      <c r="G535">
        <v>37.958866376576751</v>
      </c>
      <c r="H535">
        <v>9.8264864335603903</v>
      </c>
      <c r="I535">
        <v>0.82</v>
      </c>
      <c r="J535">
        <v>0.45</v>
      </c>
      <c r="K535">
        <v>0.54</v>
      </c>
      <c r="L535">
        <v>0.25</v>
      </c>
      <c r="N535">
        <v>125</v>
      </c>
      <c r="O535">
        <v>10</v>
      </c>
      <c r="P535">
        <v>6</v>
      </c>
      <c r="Q535">
        <v>0.53616514621265798</v>
      </c>
      <c r="R535">
        <v>1072728.181448289</v>
      </c>
      <c r="S535">
        <v>-2.9466396905193678E-3</v>
      </c>
      <c r="T535">
        <v>503.00536926940202</v>
      </c>
      <c r="U535">
        <v>744.72430032575369</v>
      </c>
      <c r="V535">
        <v>111.2843737321686</v>
      </c>
      <c r="W535">
        <v>6.6920833118772256</v>
      </c>
      <c r="X535" t="s">
        <v>57</v>
      </c>
      <c r="Y535">
        <v>8</v>
      </c>
      <c r="Z535">
        <v>461.49400000000003</v>
      </c>
      <c r="AA535">
        <v>95.163399999999996</v>
      </c>
      <c r="AB535">
        <v>51.296399999999998</v>
      </c>
      <c r="AC535">
        <v>14.272437089322381</v>
      </c>
      <c r="AE535">
        <v>95.163399999999996</v>
      </c>
      <c r="AF535" t="s">
        <v>62</v>
      </c>
      <c r="AG535" t="b">
        <v>0</v>
      </c>
      <c r="AH535">
        <v>6.6676349248857063</v>
      </c>
      <c r="AI535">
        <v>457.74299999999999</v>
      </c>
      <c r="AJ535">
        <v>91.310100000000006</v>
      </c>
      <c r="AK535">
        <v>51.757599999999996</v>
      </c>
      <c r="AL535">
        <v>13.87396443434343</v>
      </c>
      <c r="AN535">
        <v>91.310100000000006</v>
      </c>
      <c r="AO535" t="s">
        <v>62</v>
      </c>
      <c r="AP535" t="b">
        <v>0</v>
      </c>
      <c r="AQ535">
        <v>6.5813993132324997</v>
      </c>
      <c r="AR535">
        <v>461.49400000000003</v>
      </c>
      <c r="AS535">
        <v>95.163399999999996</v>
      </c>
      <c r="AT535">
        <v>6.6676349248857063</v>
      </c>
      <c r="AU535" s="5">
        <v>71.087059799999992</v>
      </c>
      <c r="AV535" s="5">
        <v>101.53934779999999</v>
      </c>
      <c r="AW535" s="5">
        <v>4.9807232888896227</v>
      </c>
      <c r="AX535" s="5">
        <v>7.114366464853048</v>
      </c>
      <c r="AY535" t="s">
        <v>59</v>
      </c>
      <c r="AZ535" t="s">
        <v>60</v>
      </c>
      <c r="BA535" s="23">
        <f t="shared" si="8"/>
        <v>0</v>
      </c>
      <c r="BB535" s="23">
        <f>IF(AND(ISNUMBER(H535),Metadata!$H$5&gt;Metadata!$G$5),MAX(Metadata!$G$5-H535,0,H535-Metadata!$H$5)/(Metadata!$H$5-Metadata!$G$5),"Missing input")</f>
        <v>0</v>
      </c>
      <c r="BC535" s="23">
        <f>IF(AND(ISNUMBER(L535),Metadata!$H$8&gt;Metadata!$G$8),MAX(Metadata!$G$8-L535,0,L535-Metadata!$H$8)/(Metadata!$H$8-Metadata!$G$8),"Missing input")</f>
        <v>0</v>
      </c>
    </row>
    <row r="536" spans="1:55" x14ac:dyDescent="0.2">
      <c r="A536" t="s">
        <v>628</v>
      </c>
      <c r="B536" t="s">
        <v>614</v>
      </c>
      <c r="C536" t="s">
        <v>466</v>
      </c>
      <c r="D536" t="s">
        <v>55</v>
      </c>
      <c r="E536" t="s">
        <v>467</v>
      </c>
      <c r="F536">
        <v>15</v>
      </c>
      <c r="G536">
        <v>27.308053040943211</v>
      </c>
      <c r="H536">
        <v>5.2772178758296739</v>
      </c>
      <c r="I536">
        <v>0.82</v>
      </c>
      <c r="J536">
        <v>0.45</v>
      </c>
      <c r="K536">
        <v>0.54</v>
      </c>
      <c r="L536">
        <v>0.25</v>
      </c>
      <c r="N536">
        <v>125</v>
      </c>
      <c r="O536">
        <v>10</v>
      </c>
      <c r="P536">
        <v>6</v>
      </c>
      <c r="Q536">
        <v>0.53616514621265798</v>
      </c>
      <c r="R536">
        <v>386052.96198531118</v>
      </c>
      <c r="S536">
        <v>-2.3780898092902159E-3</v>
      </c>
      <c r="T536">
        <v>322.00333554608738</v>
      </c>
      <c r="U536">
        <v>698.12364149884274</v>
      </c>
      <c r="V536">
        <v>71.239676005771557</v>
      </c>
      <c r="W536">
        <v>9.7996464981435842</v>
      </c>
      <c r="X536" t="s">
        <v>57</v>
      </c>
      <c r="Y536">
        <v>8</v>
      </c>
      <c r="Z536">
        <v>324.06099999999998</v>
      </c>
      <c r="AA536">
        <v>95.064399999999992</v>
      </c>
      <c r="AB536">
        <v>51.296399999999998</v>
      </c>
      <c r="AC536">
        <v>15.68762510951189</v>
      </c>
      <c r="AD536">
        <v>65.07356249753839</v>
      </c>
      <c r="AE536">
        <v>65.07356249753839</v>
      </c>
      <c r="AF536" t="s">
        <v>58</v>
      </c>
      <c r="AG536" t="b">
        <v>1</v>
      </c>
      <c r="AH536">
        <v>4.14808245628475</v>
      </c>
      <c r="AI536">
        <v>323.98399999999998</v>
      </c>
      <c r="AJ536">
        <v>91.409099999999995</v>
      </c>
      <c r="AK536">
        <v>32.289299999999997</v>
      </c>
      <c r="AL536">
        <v>15.499519193857971</v>
      </c>
      <c r="AM536">
        <v>51.88781083471715</v>
      </c>
      <c r="AN536">
        <v>51.88781083471715</v>
      </c>
      <c r="AO536" t="s">
        <v>58</v>
      </c>
      <c r="AP536" t="b">
        <v>1</v>
      </c>
      <c r="AQ536">
        <v>3.3477045439757172</v>
      </c>
      <c r="AR536">
        <v>324.06099999999998</v>
      </c>
      <c r="AS536">
        <v>65.07356249753839</v>
      </c>
      <c r="AT536">
        <v>4.14808245628475</v>
      </c>
      <c r="AU536" s="5">
        <v>48.609951185661174</v>
      </c>
      <c r="AV536" s="5">
        <v>69.433491184873461</v>
      </c>
      <c r="AW536" s="5">
        <v>3.0986175948447081</v>
      </c>
      <c r="AX536" s="5">
        <v>4.4260039808558282</v>
      </c>
      <c r="AY536" t="s">
        <v>59</v>
      </c>
      <c r="AZ536" t="s">
        <v>60</v>
      </c>
      <c r="BA536" s="23">
        <f t="shared" si="8"/>
        <v>0</v>
      </c>
      <c r="BB536" s="23">
        <f>IF(AND(ISNUMBER(H536),Metadata!$H$5&gt;Metadata!$G$5),MAX(Metadata!$G$5-H536,0,H536-Metadata!$H$5)/(Metadata!$H$5-Metadata!$G$5),"Missing input")</f>
        <v>0</v>
      </c>
      <c r="BC536" s="23">
        <f>IF(AND(ISNUMBER(L536),Metadata!$H$8&gt;Metadata!$G$8),MAX(Metadata!$G$8-L536,0,L536-Metadata!$H$8)/(Metadata!$H$8-Metadata!$G$8),"Missing input")</f>
        <v>0</v>
      </c>
    </row>
    <row r="537" spans="1:55" x14ac:dyDescent="0.2">
      <c r="A537" t="s">
        <v>629</v>
      </c>
      <c r="B537" t="s">
        <v>614</v>
      </c>
      <c r="C537" t="s">
        <v>466</v>
      </c>
      <c r="D537" t="s">
        <v>55</v>
      </c>
      <c r="E537" t="s">
        <v>467</v>
      </c>
      <c r="F537">
        <v>16</v>
      </c>
      <c r="G537">
        <v>31.1252119640606</v>
      </c>
      <c r="H537">
        <v>39.5069074866867</v>
      </c>
      <c r="I537">
        <v>0.82</v>
      </c>
      <c r="J537">
        <v>0.45</v>
      </c>
      <c r="K537">
        <v>0.54</v>
      </c>
      <c r="L537">
        <v>0.25</v>
      </c>
      <c r="N537">
        <v>125</v>
      </c>
      <c r="O537">
        <v>10</v>
      </c>
      <c r="P537">
        <v>6</v>
      </c>
      <c r="Q537">
        <v>0.53616514621265798</v>
      </c>
      <c r="R537">
        <v>3642703.933702969</v>
      </c>
      <c r="S537">
        <v>-5.1480364443268842E-3</v>
      </c>
      <c r="T537">
        <v>1553.320587426258</v>
      </c>
      <c r="U537">
        <v>715.72465594585606</v>
      </c>
      <c r="V537">
        <v>343.65499721819879</v>
      </c>
      <c r="W537">
        <v>2.0826836849150112</v>
      </c>
      <c r="X537" t="s">
        <v>57</v>
      </c>
      <c r="Y537">
        <v>8</v>
      </c>
      <c r="Z537">
        <v>635.22299999999996</v>
      </c>
      <c r="AA537">
        <v>95.163399999999996</v>
      </c>
      <c r="AB537">
        <v>27.4831</v>
      </c>
      <c r="AC537">
        <v>12.040994600191141</v>
      </c>
      <c r="AD537">
        <v>29.619367109766252</v>
      </c>
      <c r="AE537">
        <v>29.619367109766252</v>
      </c>
      <c r="AF537" t="s">
        <v>58</v>
      </c>
      <c r="AG537" t="b">
        <v>1</v>
      </c>
      <c r="AH537">
        <v>2.4598771192286781</v>
      </c>
      <c r="AI537">
        <v>639.91</v>
      </c>
      <c r="AJ537">
        <v>91.310100000000006</v>
      </c>
      <c r="AK537">
        <v>28.216699999999999</v>
      </c>
      <c r="AL537">
        <v>11.37471430948419</v>
      </c>
      <c r="AM537">
        <v>30.67842005079693</v>
      </c>
      <c r="AN537">
        <v>30.67842005079693</v>
      </c>
      <c r="AO537" t="s">
        <v>58</v>
      </c>
      <c r="AP537" t="b">
        <v>1</v>
      </c>
      <c r="AQ537">
        <v>2.6970716992177448</v>
      </c>
      <c r="AR537">
        <v>639.91</v>
      </c>
      <c r="AS537">
        <v>30.67842005079693</v>
      </c>
      <c r="AT537">
        <v>2.6970716992177448</v>
      </c>
      <c r="AU537" s="5">
        <v>22.916779777945308</v>
      </c>
      <c r="AV537" s="5">
        <v>32.733874194200325</v>
      </c>
      <c r="AW537" s="5">
        <v>2.0147125593156554</v>
      </c>
      <c r="AX537" s="5">
        <v>2.8777755030653336</v>
      </c>
      <c r="AY537" t="s">
        <v>59</v>
      </c>
      <c r="AZ537" t="s">
        <v>60</v>
      </c>
      <c r="BA537" s="23">
        <f t="shared" si="8"/>
        <v>0</v>
      </c>
      <c r="BB537" s="23">
        <f>IF(AND(ISNUMBER(H537),Metadata!$H$5&gt;Metadata!$G$5),MAX(Metadata!$G$5-H537,0,H537-Metadata!$H$5)/(Metadata!$H$5-Metadata!$G$5),"Missing input")</f>
        <v>0</v>
      </c>
      <c r="BC537" s="23">
        <f>IF(AND(ISNUMBER(L537),Metadata!$H$8&gt;Metadata!$G$8),MAX(Metadata!$G$8-L537,0,L537-Metadata!$H$8)/(Metadata!$H$8-Metadata!$G$8),"Missing input")</f>
        <v>0</v>
      </c>
    </row>
    <row r="538" spans="1:55" x14ac:dyDescent="0.2">
      <c r="A538" t="s">
        <v>630</v>
      </c>
      <c r="B538" t="s">
        <v>614</v>
      </c>
      <c r="C538" t="s">
        <v>466</v>
      </c>
      <c r="D538" t="s">
        <v>55</v>
      </c>
      <c r="E538" t="s">
        <v>467</v>
      </c>
      <c r="F538">
        <v>17</v>
      </c>
      <c r="G538">
        <v>46.390186033042063</v>
      </c>
      <c r="H538">
        <v>16.21387510983789</v>
      </c>
      <c r="I538">
        <v>0.82</v>
      </c>
      <c r="J538">
        <v>0.45</v>
      </c>
      <c r="K538">
        <v>0.54</v>
      </c>
      <c r="L538">
        <v>0.25</v>
      </c>
      <c r="N538">
        <v>125</v>
      </c>
      <c r="O538">
        <v>10</v>
      </c>
      <c r="P538">
        <v>6</v>
      </c>
      <c r="Q538">
        <v>0.53616514621265798</v>
      </c>
      <c r="R538">
        <v>2210215.3729856689</v>
      </c>
      <c r="S538">
        <v>-3.7608130188217861E-3</v>
      </c>
      <c r="T538">
        <v>884.8863604006018</v>
      </c>
      <c r="U538">
        <v>777.10568399344538</v>
      </c>
      <c r="V538">
        <v>195.77131867269949</v>
      </c>
      <c r="W538">
        <v>3.9694562475346569</v>
      </c>
      <c r="X538" t="s">
        <v>57</v>
      </c>
      <c r="Y538">
        <v>8</v>
      </c>
      <c r="Z538">
        <v>655.24300000000005</v>
      </c>
      <c r="AA538">
        <v>95.163399999999996</v>
      </c>
      <c r="AB538">
        <v>49.247999999999998</v>
      </c>
      <c r="AC538">
        <v>13.63444078150243</v>
      </c>
      <c r="AD538">
        <v>69.871380114682808</v>
      </c>
      <c r="AE538">
        <v>69.871380114682808</v>
      </c>
      <c r="AF538" t="s">
        <v>58</v>
      </c>
      <c r="AG538" t="b">
        <v>1</v>
      </c>
      <c r="AH538">
        <v>5.1246238283183496</v>
      </c>
      <c r="AI538">
        <v>651.28300000000002</v>
      </c>
      <c r="AJ538">
        <v>91.310100000000006</v>
      </c>
      <c r="AK538">
        <v>49.009500000000003</v>
      </c>
      <c r="AL538">
        <v>13.279590835913311</v>
      </c>
      <c r="AM538">
        <v>69.419573514356827</v>
      </c>
      <c r="AN538">
        <v>69.419573514356827</v>
      </c>
      <c r="AO538" t="s">
        <v>58</v>
      </c>
      <c r="AP538" t="b">
        <v>1</v>
      </c>
      <c r="AQ538">
        <v>5.2275385870036439</v>
      </c>
      <c r="AR538">
        <v>655.24300000000005</v>
      </c>
      <c r="AS538">
        <v>69.871380114682808</v>
      </c>
      <c r="AT538">
        <v>5.2275385870036439</v>
      </c>
      <c r="AU538" s="5">
        <v>52.193920945668054</v>
      </c>
      <c r="AV538" s="5">
        <v>74.552762582366555</v>
      </c>
      <c r="AW538" s="5">
        <v>3.9049713244917221</v>
      </c>
      <c r="AX538" s="5">
        <v>5.5777836723328882</v>
      </c>
      <c r="AY538" t="s">
        <v>59</v>
      </c>
      <c r="AZ538" t="s">
        <v>60</v>
      </c>
      <c r="BA538" s="23">
        <f t="shared" si="8"/>
        <v>0</v>
      </c>
      <c r="BB538" s="23">
        <f>IF(AND(ISNUMBER(H538),Metadata!$H$5&gt;Metadata!$G$5),MAX(Metadata!$G$5-H538,0,H538-Metadata!$H$5)/(Metadata!$H$5-Metadata!$G$5),"Missing input")</f>
        <v>0</v>
      </c>
      <c r="BC538" s="23">
        <f>IF(AND(ISNUMBER(L538),Metadata!$H$8&gt;Metadata!$G$8),MAX(Metadata!$G$8-L538,0,L538-Metadata!$H$8)/(Metadata!$H$8-Metadata!$G$8),"Missing input")</f>
        <v>0</v>
      </c>
    </row>
    <row r="539" spans="1:55" x14ac:dyDescent="0.2">
      <c r="A539" t="s">
        <v>631</v>
      </c>
      <c r="B539" t="s">
        <v>614</v>
      </c>
      <c r="C539" t="s">
        <v>466</v>
      </c>
      <c r="D539" t="s">
        <v>55</v>
      </c>
      <c r="E539" t="s">
        <v>467</v>
      </c>
      <c r="F539">
        <v>18</v>
      </c>
      <c r="G539">
        <v>54.165408264435399</v>
      </c>
      <c r="H539">
        <v>18.25275816413232</v>
      </c>
      <c r="I539">
        <v>0.82</v>
      </c>
      <c r="J539">
        <v>0.45</v>
      </c>
      <c r="K539">
        <v>0.54</v>
      </c>
      <c r="L539">
        <v>0.25</v>
      </c>
      <c r="N539">
        <v>125</v>
      </c>
      <c r="O539">
        <v>10</v>
      </c>
      <c r="P539">
        <v>6</v>
      </c>
      <c r="Q539">
        <v>0.53616514621265798</v>
      </c>
      <c r="R539">
        <v>2919725.6187367002</v>
      </c>
      <c r="S539">
        <v>-4.0007390207918141E-3</v>
      </c>
      <c r="T539">
        <v>1143.3919504044461</v>
      </c>
      <c r="U539">
        <v>804.44140245145684</v>
      </c>
      <c r="V539">
        <v>252.96282088593941</v>
      </c>
      <c r="W539">
        <v>3.180077608377788</v>
      </c>
      <c r="X539" t="s">
        <v>57</v>
      </c>
      <c r="Y539">
        <v>8</v>
      </c>
      <c r="Z539">
        <v>777.75400000000002</v>
      </c>
      <c r="AA539">
        <v>94.713800000000006</v>
      </c>
      <c r="AB539">
        <v>44.910200000000003</v>
      </c>
      <c r="AC539">
        <v>13.578617473755511</v>
      </c>
      <c r="AD539">
        <v>63.827902061985547</v>
      </c>
      <c r="AE539">
        <v>63.827902061985547</v>
      </c>
      <c r="AF539" t="s">
        <v>58</v>
      </c>
      <c r="AG539" t="b">
        <v>1</v>
      </c>
      <c r="AH539">
        <v>4.7006186149179703</v>
      </c>
      <c r="AI539">
        <v>772.10900000000004</v>
      </c>
      <c r="AJ539">
        <v>91.154200000000003</v>
      </c>
      <c r="AK539">
        <v>46.948399999999999</v>
      </c>
      <c r="AL539">
        <v>13.30627023060797</v>
      </c>
      <c r="AM539">
        <v>51.880551200862151</v>
      </c>
      <c r="AN539">
        <v>51.880551200862151</v>
      </c>
      <c r="AO539" t="s">
        <v>58</v>
      </c>
      <c r="AP539" t="b">
        <v>1</v>
      </c>
      <c r="AQ539">
        <v>3.898955176900214</v>
      </c>
      <c r="AR539">
        <v>777.75400000000002</v>
      </c>
      <c r="AS539">
        <v>63.827902061985547</v>
      </c>
      <c r="AT539">
        <v>4.7006186149179703</v>
      </c>
      <c r="AU539" s="5">
        <v>47.679442840303203</v>
      </c>
      <c r="AV539" s="5">
        <v>68.104371500138569</v>
      </c>
      <c r="AW539" s="5">
        <v>3.5113621053437236</v>
      </c>
      <c r="AX539" s="5">
        <v>5.0155600621174736</v>
      </c>
      <c r="AY539" t="s">
        <v>59</v>
      </c>
      <c r="AZ539" t="s">
        <v>60</v>
      </c>
      <c r="BA539" s="23">
        <f t="shared" si="8"/>
        <v>0</v>
      </c>
      <c r="BB539" s="23">
        <f>IF(AND(ISNUMBER(H539),Metadata!$H$5&gt;Metadata!$G$5),MAX(Metadata!$G$5-H539,0,H539-Metadata!$H$5)/(Metadata!$H$5-Metadata!$G$5),"Missing input")</f>
        <v>0</v>
      </c>
      <c r="BC539" s="23">
        <f>IF(AND(ISNUMBER(L539),Metadata!$H$8&gt;Metadata!$G$8),MAX(Metadata!$G$8-L539,0,L539-Metadata!$H$8)/(Metadata!$H$8-Metadata!$G$8),"Missing input")</f>
        <v>0</v>
      </c>
    </row>
    <row r="540" spans="1:55" x14ac:dyDescent="0.2">
      <c r="A540" t="s">
        <v>632</v>
      </c>
      <c r="B540" t="s">
        <v>614</v>
      </c>
      <c r="C540" t="s">
        <v>466</v>
      </c>
      <c r="D540" t="s">
        <v>55</v>
      </c>
      <c r="E540" t="s">
        <v>467</v>
      </c>
      <c r="F540">
        <v>19</v>
      </c>
      <c r="G540">
        <v>21.707483118551171</v>
      </c>
      <c r="H540">
        <v>43.497365085878002</v>
      </c>
      <c r="I540">
        <v>0.82</v>
      </c>
      <c r="J540">
        <v>0.45</v>
      </c>
      <c r="K540">
        <v>0.54</v>
      </c>
      <c r="L540">
        <v>0.25</v>
      </c>
      <c r="N540">
        <v>125</v>
      </c>
      <c r="O540">
        <v>10</v>
      </c>
      <c r="P540">
        <v>6</v>
      </c>
      <c r="Q540">
        <v>0.53616514621265798</v>
      </c>
      <c r="R540">
        <v>2786376.2799094608</v>
      </c>
      <c r="S540">
        <v>-5.1056122092214698E-3</v>
      </c>
      <c r="T540">
        <v>1223.461013450026</v>
      </c>
      <c r="U540">
        <v>669.89609780516332</v>
      </c>
      <c r="V540">
        <v>270.67721536505002</v>
      </c>
      <c r="W540">
        <v>2.474889129111606</v>
      </c>
      <c r="X540" t="s">
        <v>57</v>
      </c>
      <c r="Y540">
        <v>8</v>
      </c>
      <c r="Z540">
        <v>490.24799999999999</v>
      </c>
      <c r="AA540">
        <v>95.163399999999996</v>
      </c>
      <c r="AB540">
        <v>25.7987</v>
      </c>
      <c r="AC540">
        <v>11.833022377622379</v>
      </c>
      <c r="AD540">
        <v>27.62087497804869</v>
      </c>
      <c r="AE540">
        <v>27.62087497804869</v>
      </c>
      <c r="AF540" t="s">
        <v>58</v>
      </c>
      <c r="AG540" t="b">
        <v>1</v>
      </c>
      <c r="AH540">
        <v>2.3342197873539892</v>
      </c>
      <c r="AI540">
        <v>490.55599999999998</v>
      </c>
      <c r="AJ540">
        <v>91.310100000000006</v>
      </c>
      <c r="AK540">
        <v>26.501899999999999</v>
      </c>
      <c r="AL540">
        <v>10.78249235688185</v>
      </c>
      <c r="AM540">
        <v>28.587996938236451</v>
      </c>
      <c r="AN540">
        <v>28.587996938236451</v>
      </c>
      <c r="AO540" t="s">
        <v>58</v>
      </c>
      <c r="AP540" t="b">
        <v>1</v>
      </c>
      <c r="AQ540">
        <v>2.6513347741897881</v>
      </c>
      <c r="AR540">
        <v>490.55599999999998</v>
      </c>
      <c r="AS540">
        <v>28.587996938236451</v>
      </c>
      <c r="AT540">
        <v>2.6513347741897881</v>
      </c>
      <c r="AU540" s="5">
        <v>21.355233712862628</v>
      </c>
      <c r="AV540" s="5">
        <v>30.503392733098291</v>
      </c>
      <c r="AW540" s="5">
        <v>1.9805470763197717</v>
      </c>
      <c r="AX540" s="5">
        <v>2.8289742040605037</v>
      </c>
      <c r="AY540" t="s">
        <v>64</v>
      </c>
      <c r="AZ540" t="s">
        <v>7</v>
      </c>
      <c r="BA540" s="23">
        <f t="shared" si="8"/>
        <v>9.4596678167087334E-2</v>
      </c>
      <c r="BB540" s="23">
        <f>IF(AND(ISNUMBER(H540),Metadata!$H$5&gt;Metadata!$G$5),MAX(Metadata!$G$5-H540,0,H540-Metadata!$H$5)/(Metadata!$H$5-Metadata!$G$5),"Missing input")</f>
        <v>9.4596678167087334E-2</v>
      </c>
      <c r="BC540" s="23">
        <f>IF(AND(ISNUMBER(L540),Metadata!$H$8&gt;Metadata!$G$8),MAX(Metadata!$G$8-L540,0,L540-Metadata!$H$8)/(Metadata!$H$8-Metadata!$G$8),"Missing input")</f>
        <v>0</v>
      </c>
    </row>
    <row r="541" spans="1:55" x14ac:dyDescent="0.2">
      <c r="A541" t="s">
        <v>633</v>
      </c>
      <c r="B541" t="s">
        <v>614</v>
      </c>
      <c r="C541" t="s">
        <v>466</v>
      </c>
      <c r="D541" t="s">
        <v>55</v>
      </c>
      <c r="E541" t="s">
        <v>467</v>
      </c>
      <c r="F541">
        <v>20</v>
      </c>
      <c r="G541">
        <v>53.035991243371583</v>
      </c>
      <c r="H541">
        <v>30.34654288470276</v>
      </c>
      <c r="I541">
        <v>0.82</v>
      </c>
      <c r="J541">
        <v>0.45</v>
      </c>
      <c r="K541">
        <v>0.54</v>
      </c>
      <c r="L541">
        <v>0.25</v>
      </c>
      <c r="N541">
        <v>125</v>
      </c>
      <c r="O541">
        <v>10</v>
      </c>
      <c r="P541">
        <v>6</v>
      </c>
      <c r="Q541">
        <v>0.53616514621265798</v>
      </c>
      <c r="R541">
        <v>4782098.2730990862</v>
      </c>
      <c r="S541">
        <v>-4.9697251916189121E-3</v>
      </c>
      <c r="T541">
        <v>1960.002807526814</v>
      </c>
      <c r="U541">
        <v>800.59853302729891</v>
      </c>
      <c r="V541">
        <v>433.62893971832159</v>
      </c>
      <c r="W541">
        <v>1.8462756050077169</v>
      </c>
      <c r="X541" t="s">
        <v>57</v>
      </c>
      <c r="Y541">
        <v>8</v>
      </c>
      <c r="Z541">
        <v>937.88</v>
      </c>
      <c r="AA541">
        <v>95.163399999999996</v>
      </c>
      <c r="AB541">
        <v>34.534999999999997</v>
      </c>
      <c r="AC541">
        <v>13.5943023916293</v>
      </c>
      <c r="AD541">
        <v>37.886426184499278</v>
      </c>
      <c r="AE541">
        <v>37.886426184499278</v>
      </c>
      <c r="AF541" t="s">
        <v>58</v>
      </c>
      <c r="AG541" t="b">
        <v>1</v>
      </c>
      <c r="AH541">
        <v>2.7869341944186758</v>
      </c>
      <c r="AI541">
        <v>934.82899999999995</v>
      </c>
      <c r="AJ541">
        <v>91.310100000000006</v>
      </c>
      <c r="AK541">
        <v>34.388800000000003</v>
      </c>
      <c r="AL541">
        <v>13.07207979938272</v>
      </c>
      <c r="AM541">
        <v>38.393112236329003</v>
      </c>
      <c r="AN541">
        <v>38.393112236329003</v>
      </c>
      <c r="AO541" t="s">
        <v>58</v>
      </c>
      <c r="AP541" t="b">
        <v>1</v>
      </c>
      <c r="AQ541">
        <v>2.9370316602674018</v>
      </c>
      <c r="AR541">
        <v>937.88</v>
      </c>
      <c r="AS541">
        <v>38.393112236329003</v>
      </c>
      <c r="AT541">
        <v>2.9370316602674018</v>
      </c>
      <c r="AU541" s="5">
        <v>28.679654840537765</v>
      </c>
      <c r="AV541" s="5">
        <v>40.965450756163044</v>
      </c>
      <c r="AW541" s="5">
        <v>2.1939626502197491</v>
      </c>
      <c r="AX541" s="5">
        <v>3.1338127815053176</v>
      </c>
      <c r="AY541" t="s">
        <v>59</v>
      </c>
      <c r="AZ541" t="s">
        <v>60</v>
      </c>
      <c r="BA541" s="23">
        <f t="shared" si="8"/>
        <v>0</v>
      </c>
      <c r="BB541" s="23">
        <f>IF(AND(ISNUMBER(H541),Metadata!$H$5&gt;Metadata!$G$5),MAX(Metadata!$G$5-H541,0,H541-Metadata!$H$5)/(Metadata!$H$5-Metadata!$G$5),"Missing input")</f>
        <v>0</v>
      </c>
      <c r="BC541" s="23">
        <f>IF(AND(ISNUMBER(L541),Metadata!$H$8&gt;Metadata!$G$8),MAX(Metadata!$G$8-L541,0,L541-Metadata!$H$8)/(Metadata!$H$8-Metadata!$G$8),"Missing input")</f>
        <v>0</v>
      </c>
    </row>
    <row r="542" spans="1:55" x14ac:dyDescent="0.2">
      <c r="A542" t="s">
        <v>634</v>
      </c>
      <c r="B542" t="s">
        <v>635</v>
      </c>
      <c r="C542" t="s">
        <v>466</v>
      </c>
      <c r="D542" t="s">
        <v>55</v>
      </c>
      <c r="E542" t="s">
        <v>467</v>
      </c>
      <c r="F542">
        <v>1</v>
      </c>
      <c r="G542">
        <v>22.11413992487228</v>
      </c>
      <c r="H542">
        <v>28.832065765515338</v>
      </c>
      <c r="I542">
        <v>0.54</v>
      </c>
      <c r="J542">
        <v>0.4</v>
      </c>
      <c r="K542">
        <v>0.54</v>
      </c>
      <c r="L542">
        <v>0.25</v>
      </c>
      <c r="N542">
        <v>125</v>
      </c>
      <c r="O542">
        <v>10</v>
      </c>
      <c r="P542">
        <v>4</v>
      </c>
      <c r="Q542">
        <v>0.53616514621265798</v>
      </c>
      <c r="R542">
        <v>1866510.334985178</v>
      </c>
      <c r="S542">
        <v>-4.6363870116251336E-3</v>
      </c>
      <c r="T542">
        <v>744.5244380247608</v>
      </c>
      <c r="U542">
        <v>672.06023102885479</v>
      </c>
      <c r="V542">
        <v>164.71779602317719</v>
      </c>
      <c r="W542">
        <v>4.080070564654048</v>
      </c>
      <c r="X542" t="s">
        <v>57</v>
      </c>
      <c r="Y542">
        <v>8</v>
      </c>
      <c r="Z542">
        <v>441.64499999999998</v>
      </c>
      <c r="AA542">
        <v>95.163399999999996</v>
      </c>
      <c r="AB542">
        <v>32.772100000000002</v>
      </c>
      <c r="AC542">
        <v>12.42052155269058</v>
      </c>
      <c r="AD542">
        <v>37.915478933290473</v>
      </c>
      <c r="AE542">
        <v>37.915478933290473</v>
      </c>
      <c r="AF542" t="s">
        <v>58</v>
      </c>
      <c r="AG542" t="b">
        <v>1</v>
      </c>
      <c r="AH542">
        <v>3.05264789183326</v>
      </c>
      <c r="AI542">
        <v>440.88299999999998</v>
      </c>
      <c r="AJ542">
        <v>91.310100000000006</v>
      </c>
      <c r="AK542">
        <v>32.289299999999997</v>
      </c>
      <c r="AL542">
        <v>11.933653622327791</v>
      </c>
      <c r="AM542">
        <v>37.938389144406187</v>
      </c>
      <c r="AN542">
        <v>37.938389144406187</v>
      </c>
      <c r="AO542" t="s">
        <v>58</v>
      </c>
      <c r="AP542" t="b">
        <v>1</v>
      </c>
      <c r="AQ542">
        <v>3.179109294191655</v>
      </c>
      <c r="AR542">
        <v>441.64499999999998</v>
      </c>
      <c r="AS542">
        <v>37.938389144406187</v>
      </c>
      <c r="AT542">
        <v>3.179109294191655</v>
      </c>
      <c r="AU542" s="5">
        <v>28.339976690871421</v>
      </c>
      <c r="AV542" s="5">
        <v>40.480261217081399</v>
      </c>
      <c r="AW542" s="5">
        <v>2.3747946427611661</v>
      </c>
      <c r="AX542" s="5">
        <v>3.3921096169024958</v>
      </c>
      <c r="AY542" t="s">
        <v>59</v>
      </c>
      <c r="AZ542" t="s">
        <v>60</v>
      </c>
      <c r="BA542" s="23">
        <f t="shared" si="8"/>
        <v>0</v>
      </c>
      <c r="BB542" s="23">
        <f>IF(AND(ISNUMBER(H542),Metadata!$H$5&gt;Metadata!$G$5),MAX(Metadata!$G$5-H542,0,H542-Metadata!$H$5)/(Metadata!$H$5-Metadata!$G$5),"Missing input")</f>
        <v>0</v>
      </c>
      <c r="BC542" s="23">
        <f>IF(AND(ISNUMBER(L542),Metadata!$H$8&gt;Metadata!$G$8),MAX(Metadata!$G$8-L542,0,L542-Metadata!$H$8)/(Metadata!$H$8-Metadata!$G$8),"Missing input")</f>
        <v>0</v>
      </c>
    </row>
    <row r="543" spans="1:55" x14ac:dyDescent="0.2">
      <c r="A543" t="s">
        <v>636</v>
      </c>
      <c r="B543" t="s">
        <v>635</v>
      </c>
      <c r="C543" t="s">
        <v>466</v>
      </c>
      <c r="D543" t="s">
        <v>55</v>
      </c>
      <c r="E543" t="s">
        <v>467</v>
      </c>
      <c r="F543">
        <v>2</v>
      </c>
      <c r="G543">
        <v>39.289372610104301</v>
      </c>
      <c r="H543">
        <v>11.43599740060767</v>
      </c>
      <c r="I543">
        <v>0.54</v>
      </c>
      <c r="J543">
        <v>0.4</v>
      </c>
      <c r="K543">
        <v>0.54</v>
      </c>
      <c r="L543">
        <v>0.25</v>
      </c>
      <c r="N543">
        <v>125</v>
      </c>
      <c r="O543">
        <v>10</v>
      </c>
      <c r="P543">
        <v>4</v>
      </c>
      <c r="Q543">
        <v>0.53616514621265798</v>
      </c>
      <c r="R543">
        <v>1301660.814121977</v>
      </c>
      <c r="S543">
        <v>-3.0524300069455332E-3</v>
      </c>
      <c r="T543">
        <v>491.47854195585097</v>
      </c>
      <c r="U543">
        <v>750.05745558684532</v>
      </c>
      <c r="V543">
        <v>108.7341906981971</v>
      </c>
      <c r="W543">
        <v>6.8980828456129908</v>
      </c>
      <c r="X543" t="s">
        <v>57</v>
      </c>
      <c r="Y543">
        <v>8</v>
      </c>
      <c r="Z543">
        <v>465.66199999999998</v>
      </c>
      <c r="AA543">
        <v>95.163399999999996</v>
      </c>
      <c r="AB543">
        <v>51.296399999999998</v>
      </c>
      <c r="AC543">
        <v>13.23283764607679</v>
      </c>
      <c r="AD543">
        <v>87.505987795346371</v>
      </c>
      <c r="AE543">
        <v>87.505987795346371</v>
      </c>
      <c r="AF543" t="s">
        <v>58</v>
      </c>
      <c r="AG543" t="b">
        <v>1</v>
      </c>
      <c r="AH543">
        <v>6.6127908567887346</v>
      </c>
      <c r="AI543">
        <v>462.58600000000001</v>
      </c>
      <c r="AJ543">
        <v>91.310100000000006</v>
      </c>
      <c r="AK543">
        <v>51.757599999999996</v>
      </c>
      <c r="AL543">
        <v>12.77710255458515</v>
      </c>
      <c r="AM543">
        <v>87.137107471759649</v>
      </c>
      <c r="AN543">
        <v>87.137107471759649</v>
      </c>
      <c r="AO543" t="s">
        <v>58</v>
      </c>
      <c r="AP543" t="b">
        <v>1</v>
      </c>
      <c r="AQ543">
        <v>6.8197861838785876</v>
      </c>
      <c r="AR543">
        <v>465.66199999999998</v>
      </c>
      <c r="AS543">
        <v>87.505987795346371</v>
      </c>
      <c r="AT543">
        <v>6.8197861838785876</v>
      </c>
      <c r="AU543" s="5">
        <v>65.366972883123736</v>
      </c>
      <c r="AV543" s="5">
        <v>93.368888977634569</v>
      </c>
      <c r="AW543" s="5">
        <v>5.0943802793573045</v>
      </c>
      <c r="AX543" s="5">
        <v>7.2767118581984525</v>
      </c>
      <c r="AY543" t="s">
        <v>59</v>
      </c>
      <c r="AZ543" t="s">
        <v>60</v>
      </c>
      <c r="BA543" s="23">
        <f t="shared" si="8"/>
        <v>0</v>
      </c>
      <c r="BB543" s="23">
        <f>IF(AND(ISNUMBER(H543),Metadata!$H$5&gt;Metadata!$G$5),MAX(Metadata!$G$5-H543,0,H543-Metadata!$H$5)/(Metadata!$H$5-Metadata!$G$5),"Missing input")</f>
        <v>0</v>
      </c>
      <c r="BC543" s="23">
        <f>IF(AND(ISNUMBER(L543),Metadata!$H$8&gt;Metadata!$G$8),MAX(Metadata!$G$8-L543,0,L543-Metadata!$H$8)/(Metadata!$H$8-Metadata!$G$8),"Missing input")</f>
        <v>0</v>
      </c>
    </row>
    <row r="544" spans="1:55" x14ac:dyDescent="0.2">
      <c r="A544" t="s">
        <v>637</v>
      </c>
      <c r="B544" t="s">
        <v>635</v>
      </c>
      <c r="C544" t="s">
        <v>466</v>
      </c>
      <c r="D544" t="s">
        <v>55</v>
      </c>
      <c r="E544" t="s">
        <v>467</v>
      </c>
      <c r="F544">
        <v>3</v>
      </c>
      <c r="G544">
        <v>50.720967279676117</v>
      </c>
      <c r="H544">
        <v>41.572102032205443</v>
      </c>
      <c r="I544">
        <v>0.54</v>
      </c>
      <c r="J544">
        <v>0.4</v>
      </c>
      <c r="K544">
        <v>0.54</v>
      </c>
      <c r="L544">
        <v>0.25</v>
      </c>
      <c r="N544">
        <v>125</v>
      </c>
      <c r="O544">
        <v>10</v>
      </c>
      <c r="P544">
        <v>4</v>
      </c>
      <c r="Q544">
        <v>0.53616514621265798</v>
      </c>
      <c r="R544">
        <v>6279453.0057685468</v>
      </c>
      <c r="S544">
        <v>-4.8144030653677443E-3</v>
      </c>
      <c r="T544">
        <v>2613.822828772893</v>
      </c>
      <c r="U544">
        <v>792.59154081609961</v>
      </c>
      <c r="V544">
        <v>578.2793868966578</v>
      </c>
      <c r="W544">
        <v>1.370603135397148</v>
      </c>
      <c r="X544" t="s">
        <v>57</v>
      </c>
      <c r="Y544">
        <v>8</v>
      </c>
      <c r="Z544">
        <v>917.52099999999996</v>
      </c>
      <c r="AA544">
        <v>95.163399999999996</v>
      </c>
      <c r="AB544">
        <v>25.7987</v>
      </c>
      <c r="AC544">
        <v>11.86270029751007</v>
      </c>
      <c r="AD544">
        <v>26.288117030584921</v>
      </c>
      <c r="AE544">
        <v>26.288117030584921</v>
      </c>
      <c r="AF544" t="s">
        <v>58</v>
      </c>
      <c r="AG544" t="b">
        <v>1</v>
      </c>
      <c r="AH544">
        <v>2.216031457534394</v>
      </c>
      <c r="AI544">
        <v>920.053</v>
      </c>
      <c r="AJ544">
        <v>91.310100000000006</v>
      </c>
      <c r="AK544">
        <v>25.858899999999998</v>
      </c>
      <c r="AL544">
        <v>10.933522073628851</v>
      </c>
      <c r="AM544">
        <v>26.990885891528549</v>
      </c>
      <c r="AN544">
        <v>26.990885891528549</v>
      </c>
      <c r="AO544" t="s">
        <v>58</v>
      </c>
      <c r="AP544" t="b">
        <v>1</v>
      </c>
      <c r="AQ544">
        <v>2.468635971991981</v>
      </c>
      <c r="AR544">
        <v>920.053</v>
      </c>
      <c r="AS544">
        <v>26.990885891528549</v>
      </c>
      <c r="AT544">
        <v>2.468635971991981</v>
      </c>
      <c r="AU544" s="5">
        <v>20.162191760971826</v>
      </c>
      <c r="AV544" s="5">
        <v>28.799275246260962</v>
      </c>
      <c r="AW544" s="5">
        <v>1.8440710710780099</v>
      </c>
      <c r="AX544" s="5">
        <v>2.6340345821154436</v>
      </c>
      <c r="AY544" t="s">
        <v>64</v>
      </c>
      <c r="AZ544" t="s">
        <v>7</v>
      </c>
      <c r="BA544" s="23">
        <f t="shared" si="8"/>
        <v>4.6063612035701466E-2</v>
      </c>
      <c r="BB544" s="23">
        <f>IF(AND(ISNUMBER(H544),Metadata!$H$5&gt;Metadata!$G$5),MAX(Metadata!$G$5-H544,0,H544-Metadata!$H$5)/(Metadata!$H$5-Metadata!$G$5),"Missing input")</f>
        <v>4.6063612035701466E-2</v>
      </c>
      <c r="BC544" s="23">
        <f>IF(AND(ISNUMBER(L544),Metadata!$H$8&gt;Metadata!$G$8),MAX(Metadata!$G$8-L544,0,L544-Metadata!$H$8)/(Metadata!$H$8-Metadata!$G$8),"Missing input")</f>
        <v>0</v>
      </c>
    </row>
    <row r="545" spans="1:55" x14ac:dyDescent="0.2">
      <c r="A545" t="s">
        <v>638</v>
      </c>
      <c r="B545" t="s">
        <v>635</v>
      </c>
      <c r="C545" t="s">
        <v>466</v>
      </c>
      <c r="D545" t="s">
        <v>55</v>
      </c>
      <c r="E545" t="s">
        <v>467</v>
      </c>
      <c r="F545">
        <v>4</v>
      </c>
      <c r="G545">
        <v>40.065365059576777</v>
      </c>
      <c r="H545">
        <v>25.23064360495534</v>
      </c>
      <c r="I545">
        <v>0.54</v>
      </c>
      <c r="J545">
        <v>0.4</v>
      </c>
      <c r="K545">
        <v>0.54</v>
      </c>
      <c r="L545">
        <v>0.25</v>
      </c>
      <c r="N545">
        <v>125</v>
      </c>
      <c r="O545">
        <v>10</v>
      </c>
      <c r="P545">
        <v>4</v>
      </c>
      <c r="Q545">
        <v>0.53616514621265798</v>
      </c>
      <c r="R545">
        <v>2986346.165161836</v>
      </c>
      <c r="S545">
        <v>-4.4351683777195394E-3</v>
      </c>
      <c r="T545">
        <v>1135.712827442806</v>
      </c>
      <c r="U545">
        <v>753.12627800274458</v>
      </c>
      <c r="V545">
        <v>251.26389987672701</v>
      </c>
      <c r="W545">
        <v>2.997351702223189</v>
      </c>
      <c r="X545" t="s">
        <v>57</v>
      </c>
      <c r="Y545">
        <v>8</v>
      </c>
      <c r="Z545">
        <v>674.07299999999998</v>
      </c>
      <c r="AA545">
        <v>95.163399999999996</v>
      </c>
      <c r="AB545">
        <v>37.305400000000013</v>
      </c>
      <c r="AC545">
        <v>12.74720004704554</v>
      </c>
      <c r="AD545">
        <v>43.81249262977223</v>
      </c>
      <c r="AE545">
        <v>43.81249262977223</v>
      </c>
      <c r="AF545" t="s">
        <v>58</v>
      </c>
      <c r="AG545" t="b">
        <v>1</v>
      </c>
      <c r="AH545">
        <v>3.4370287175281908</v>
      </c>
      <c r="AI545">
        <v>671.67</v>
      </c>
      <c r="AJ545">
        <v>91.310100000000006</v>
      </c>
      <c r="AK545">
        <v>36.743099999999998</v>
      </c>
      <c r="AL545">
        <v>12.412353896518679</v>
      </c>
      <c r="AM545">
        <v>42.937389646112543</v>
      </c>
      <c r="AN545">
        <v>42.937389646112543</v>
      </c>
      <c r="AO545" t="s">
        <v>58</v>
      </c>
      <c r="AP545" t="b">
        <v>1</v>
      </c>
      <c r="AQ545">
        <v>3.459246328623879</v>
      </c>
      <c r="AR545">
        <v>674.07299999999998</v>
      </c>
      <c r="AS545">
        <v>43.81249262977223</v>
      </c>
      <c r="AT545">
        <v>3.459246328623879</v>
      </c>
      <c r="AU545" s="5">
        <v>32.727931994439857</v>
      </c>
      <c r="AV545" s="5">
        <v>46.747929635966969</v>
      </c>
      <c r="AW545" s="5">
        <v>2.5840570074820377</v>
      </c>
      <c r="AX545" s="5">
        <v>3.6910158326416789</v>
      </c>
      <c r="AY545" t="s">
        <v>59</v>
      </c>
      <c r="AZ545" t="s">
        <v>60</v>
      </c>
      <c r="BA545" s="23">
        <f t="shared" si="8"/>
        <v>0</v>
      </c>
      <c r="BB545" s="23">
        <f>IF(AND(ISNUMBER(H545),Metadata!$H$5&gt;Metadata!$G$5),MAX(Metadata!$G$5-H545,0,H545-Metadata!$H$5)/(Metadata!$H$5-Metadata!$G$5),"Missing input")</f>
        <v>0</v>
      </c>
      <c r="BC545" s="23">
        <f>IF(AND(ISNUMBER(L545),Metadata!$H$8&gt;Metadata!$G$8),MAX(Metadata!$G$8-L545,0,L545-Metadata!$H$8)/(Metadata!$H$8-Metadata!$G$8),"Missing input")</f>
        <v>0</v>
      </c>
    </row>
    <row r="546" spans="1:55" x14ac:dyDescent="0.2">
      <c r="A546" t="s">
        <v>639</v>
      </c>
      <c r="B546" t="s">
        <v>635</v>
      </c>
      <c r="C546" t="s">
        <v>466</v>
      </c>
      <c r="D546" t="s">
        <v>55</v>
      </c>
      <c r="E546" t="s">
        <v>467</v>
      </c>
      <c r="F546">
        <v>5</v>
      </c>
      <c r="G546">
        <v>44.691650234033148</v>
      </c>
      <c r="H546">
        <v>35.278860063057749</v>
      </c>
      <c r="I546">
        <v>0.54</v>
      </c>
      <c r="J546">
        <v>0.4</v>
      </c>
      <c r="K546">
        <v>0.54</v>
      </c>
      <c r="L546">
        <v>0.25</v>
      </c>
      <c r="N546">
        <v>125</v>
      </c>
      <c r="O546">
        <v>10</v>
      </c>
      <c r="P546">
        <v>4</v>
      </c>
      <c r="Q546">
        <v>0.53616514621265798</v>
      </c>
      <c r="R546">
        <v>4683732.748780732</v>
      </c>
      <c r="S546">
        <v>-4.8193969909471118E-3</v>
      </c>
      <c r="T546">
        <v>1877.6801082135851</v>
      </c>
      <c r="U546">
        <v>770.83560231362162</v>
      </c>
      <c r="V546">
        <v>415.41595314459852</v>
      </c>
      <c r="W546">
        <v>1.855575349185755</v>
      </c>
      <c r="X546" t="s">
        <v>57</v>
      </c>
      <c r="Y546">
        <v>8</v>
      </c>
      <c r="Z546">
        <v>807.46500000000003</v>
      </c>
      <c r="AA546">
        <v>95.163399999999996</v>
      </c>
      <c r="AB546">
        <v>28.994299999999999</v>
      </c>
      <c r="AC546">
        <v>12.0650296303502</v>
      </c>
      <c r="AD546">
        <v>31.082942756539239</v>
      </c>
      <c r="AE546">
        <v>31.082942756539239</v>
      </c>
      <c r="AF546" t="s">
        <v>58</v>
      </c>
      <c r="AG546" t="b">
        <v>1</v>
      </c>
      <c r="AH546">
        <v>2.5762839967129891</v>
      </c>
      <c r="AI546">
        <v>808.88400000000001</v>
      </c>
      <c r="AJ546">
        <v>91.310100000000006</v>
      </c>
      <c r="AK546">
        <v>29.717099999999999</v>
      </c>
      <c r="AL546">
        <v>11.44025950155763</v>
      </c>
      <c r="AM546">
        <v>31.923691667327368</v>
      </c>
      <c r="AN546">
        <v>31.923691667327368</v>
      </c>
      <c r="AO546" t="s">
        <v>58</v>
      </c>
      <c r="AP546" t="b">
        <v>1</v>
      </c>
      <c r="AQ546">
        <v>2.790469190229544</v>
      </c>
      <c r="AR546">
        <v>808.88400000000001</v>
      </c>
      <c r="AS546">
        <v>31.923691667327368</v>
      </c>
      <c r="AT546">
        <v>2.790469190229544</v>
      </c>
      <c r="AU546" s="5">
        <v>23.846997675493544</v>
      </c>
      <c r="AV546" s="5">
        <v>34.062579009038302</v>
      </c>
      <c r="AW546" s="5">
        <v>2.0844804851014693</v>
      </c>
      <c r="AX546" s="5">
        <v>2.9774306259749235</v>
      </c>
      <c r="AY546" t="s">
        <v>59</v>
      </c>
      <c r="AZ546" t="s">
        <v>60</v>
      </c>
      <c r="BA546" s="23">
        <f t="shared" si="8"/>
        <v>0</v>
      </c>
      <c r="BB546" s="23">
        <f>IF(AND(ISNUMBER(H546),Metadata!$H$5&gt;Metadata!$G$5),MAX(Metadata!$G$5-H546,0,H546-Metadata!$H$5)/(Metadata!$H$5-Metadata!$G$5),"Missing input")</f>
        <v>0</v>
      </c>
      <c r="BC546" s="23">
        <f>IF(AND(ISNUMBER(L546),Metadata!$H$8&gt;Metadata!$G$8),MAX(Metadata!$G$8-L546,0,L546-Metadata!$H$8)/(Metadata!$H$8-Metadata!$G$8),"Missing input")</f>
        <v>0</v>
      </c>
    </row>
    <row r="547" spans="1:55" x14ac:dyDescent="0.2">
      <c r="A547" t="s">
        <v>640</v>
      </c>
      <c r="B547" t="s">
        <v>635</v>
      </c>
      <c r="C547" t="s">
        <v>466</v>
      </c>
      <c r="D547" t="s">
        <v>55</v>
      </c>
      <c r="E547" t="s">
        <v>467</v>
      </c>
      <c r="F547">
        <v>6</v>
      </c>
      <c r="G547">
        <v>33.086500490231572</v>
      </c>
      <c r="H547">
        <v>19.79580616436397</v>
      </c>
      <c r="I547">
        <v>0.54</v>
      </c>
      <c r="J547">
        <v>0.4</v>
      </c>
      <c r="K547">
        <v>0.54</v>
      </c>
      <c r="L547">
        <v>0.25</v>
      </c>
      <c r="N547">
        <v>125</v>
      </c>
      <c r="O547">
        <v>10</v>
      </c>
      <c r="P547">
        <v>4</v>
      </c>
      <c r="Q547">
        <v>0.53616514621265798</v>
      </c>
      <c r="R547">
        <v>1918643.176085273</v>
      </c>
      <c r="S547">
        <v>-3.9897672190532503E-3</v>
      </c>
      <c r="T547">
        <v>725.9783047221614</v>
      </c>
      <c r="U547">
        <v>724.34809556380162</v>
      </c>
      <c r="V547">
        <v>160.61466918631891</v>
      </c>
      <c r="W547">
        <v>4.5098501851255648</v>
      </c>
      <c r="X547" t="s">
        <v>57</v>
      </c>
      <c r="Y547">
        <v>8</v>
      </c>
      <c r="Z547">
        <v>527.15</v>
      </c>
      <c r="AA547">
        <v>95.156199999999998</v>
      </c>
      <c r="AB547">
        <v>37.809100000000001</v>
      </c>
      <c r="AC547">
        <v>12.95881561546287</v>
      </c>
      <c r="AD547">
        <v>56.496719134046273</v>
      </c>
      <c r="AE547">
        <v>56.496719134046273</v>
      </c>
      <c r="AF547" t="s">
        <v>58</v>
      </c>
      <c r="AG547" t="b">
        <v>1</v>
      </c>
      <c r="AH547">
        <v>4.3597131721384024</v>
      </c>
      <c r="AI547">
        <v>527.14200000000005</v>
      </c>
      <c r="AJ547">
        <v>91.3172</v>
      </c>
      <c r="AK547">
        <v>39.358900000000013</v>
      </c>
      <c r="AL547">
        <v>12.874640982318279</v>
      </c>
      <c r="AM547">
        <v>39.523466839672949</v>
      </c>
      <c r="AN547">
        <v>39.523466839672949</v>
      </c>
      <c r="AO547" t="s">
        <v>58</v>
      </c>
      <c r="AP547" t="b">
        <v>1</v>
      </c>
      <c r="AQ547">
        <v>3.0698694351130671</v>
      </c>
      <c r="AR547">
        <v>527.15</v>
      </c>
      <c r="AS547">
        <v>56.496719134046273</v>
      </c>
      <c r="AT547">
        <v>4.3597131721384024</v>
      </c>
      <c r="AU547" s="5">
        <v>42.203049193132564</v>
      </c>
      <c r="AV547" s="5">
        <v>60.281999316027374</v>
      </c>
      <c r="AW547" s="5">
        <v>3.2567057395873866</v>
      </c>
      <c r="AX547" s="5">
        <v>4.6518139546716748</v>
      </c>
      <c r="AY547" t="s">
        <v>59</v>
      </c>
      <c r="AZ547" t="s">
        <v>60</v>
      </c>
      <c r="BA547" s="23">
        <f t="shared" si="8"/>
        <v>0</v>
      </c>
      <c r="BB547" s="23">
        <f>IF(AND(ISNUMBER(H547),Metadata!$H$5&gt;Metadata!$G$5),MAX(Metadata!$G$5-H547,0,H547-Metadata!$H$5)/(Metadata!$H$5-Metadata!$G$5),"Missing input")</f>
        <v>0</v>
      </c>
      <c r="BC547" s="23">
        <f>IF(AND(ISNUMBER(L547),Metadata!$H$8&gt;Metadata!$G$8),MAX(Metadata!$G$8-L547,0,L547-Metadata!$H$8)/(Metadata!$H$8-Metadata!$G$8),"Missing input")</f>
        <v>0</v>
      </c>
    </row>
    <row r="548" spans="1:55" x14ac:dyDescent="0.2">
      <c r="A548" t="s">
        <v>641</v>
      </c>
      <c r="B548" t="s">
        <v>635</v>
      </c>
      <c r="C548" t="s">
        <v>466</v>
      </c>
      <c r="D548" t="s">
        <v>55</v>
      </c>
      <c r="E548" t="s">
        <v>467</v>
      </c>
      <c r="F548">
        <v>7</v>
      </c>
      <c r="G548">
        <v>42.943727860216583</v>
      </c>
      <c r="H548">
        <v>31.604415760045629</v>
      </c>
      <c r="I548">
        <v>0.54</v>
      </c>
      <c r="J548">
        <v>0.4</v>
      </c>
      <c r="K548">
        <v>0.54</v>
      </c>
      <c r="L548">
        <v>0.25</v>
      </c>
      <c r="N548">
        <v>125</v>
      </c>
      <c r="O548">
        <v>10</v>
      </c>
      <c r="P548">
        <v>4</v>
      </c>
      <c r="Q548">
        <v>0.53616514621265798</v>
      </c>
      <c r="R548">
        <v>4025355.613741619</v>
      </c>
      <c r="S548">
        <v>-4.7413441174439606E-3</v>
      </c>
      <c r="T548">
        <v>1581.5819050645539</v>
      </c>
      <c r="U548">
        <v>764.25751687900618</v>
      </c>
      <c r="V548">
        <v>349.9075011204767</v>
      </c>
      <c r="W548">
        <v>2.1841701433427252</v>
      </c>
      <c r="X548" t="s">
        <v>57</v>
      </c>
      <c r="Y548">
        <v>8</v>
      </c>
      <c r="Z548">
        <v>761.96100000000001</v>
      </c>
      <c r="AA548">
        <v>95.163399999999996</v>
      </c>
      <c r="AB548">
        <v>31.764600000000002</v>
      </c>
      <c r="AC548">
        <v>12.28450067587209</v>
      </c>
      <c r="AD548">
        <v>35.118412715183439</v>
      </c>
      <c r="AE548">
        <v>35.118412715183439</v>
      </c>
      <c r="AF548" t="s">
        <v>58</v>
      </c>
      <c r="AG548" t="b">
        <v>1</v>
      </c>
      <c r="AH548">
        <v>2.8587578479408031</v>
      </c>
      <c r="AI548">
        <v>763.83699999999999</v>
      </c>
      <c r="AJ548">
        <v>91.310100000000006</v>
      </c>
      <c r="AK548">
        <v>32.289299999999997</v>
      </c>
      <c r="AL548">
        <v>11.847911518072291</v>
      </c>
      <c r="AM548">
        <v>34.985816426136907</v>
      </c>
      <c r="AN548">
        <v>34.985816426136907</v>
      </c>
      <c r="AO548" t="s">
        <v>58</v>
      </c>
      <c r="AP548" t="b">
        <v>1</v>
      </c>
      <c r="AQ548">
        <v>2.9529100021359098</v>
      </c>
      <c r="AR548">
        <v>763.83699999999999</v>
      </c>
      <c r="AS548">
        <v>35.118412715183439</v>
      </c>
      <c r="AT548">
        <v>2.9529100021359098</v>
      </c>
      <c r="AU548" s="5">
        <v>26.23345429824203</v>
      </c>
      <c r="AV548" s="5">
        <v>37.471346367100729</v>
      </c>
      <c r="AW548" s="5">
        <v>2.2058237715955245</v>
      </c>
      <c r="AX548" s="5">
        <v>3.1507549722790156</v>
      </c>
      <c r="AY548" t="s">
        <v>59</v>
      </c>
      <c r="AZ548" t="s">
        <v>60</v>
      </c>
      <c r="BA548" s="23">
        <f t="shared" si="8"/>
        <v>0</v>
      </c>
      <c r="BB548" s="23">
        <f>IF(AND(ISNUMBER(H548),Metadata!$H$5&gt;Metadata!$G$5),MAX(Metadata!$G$5-H548,0,H548-Metadata!$H$5)/(Metadata!$H$5-Metadata!$G$5),"Missing input")</f>
        <v>0</v>
      </c>
      <c r="BC548" s="23">
        <f>IF(AND(ISNUMBER(L548),Metadata!$H$8&gt;Metadata!$G$8),MAX(Metadata!$G$8-L548,0,L548-Metadata!$H$8)/(Metadata!$H$8-Metadata!$G$8),"Missing input")</f>
        <v>0</v>
      </c>
    </row>
    <row r="549" spans="1:55" x14ac:dyDescent="0.2">
      <c r="A549" t="s">
        <v>642</v>
      </c>
      <c r="B549" t="s">
        <v>635</v>
      </c>
      <c r="C549" t="s">
        <v>466</v>
      </c>
      <c r="D549" t="s">
        <v>55</v>
      </c>
      <c r="E549" t="s">
        <v>467</v>
      </c>
      <c r="F549">
        <v>8</v>
      </c>
      <c r="G549">
        <v>29.155454969686971</v>
      </c>
      <c r="H549">
        <v>7.3398505058277053</v>
      </c>
      <c r="I549">
        <v>0.54</v>
      </c>
      <c r="J549">
        <v>0.4</v>
      </c>
      <c r="K549">
        <v>0.54</v>
      </c>
      <c r="L549">
        <v>0.25</v>
      </c>
      <c r="N549">
        <v>125</v>
      </c>
      <c r="O549">
        <v>10</v>
      </c>
      <c r="P549">
        <v>4</v>
      </c>
      <c r="Q549">
        <v>0.53616514621265798</v>
      </c>
      <c r="R549">
        <v>595711.36772068124</v>
      </c>
      <c r="S549">
        <v>-2.5594245776118028E-3</v>
      </c>
      <c r="T549">
        <v>290.67184943617332</v>
      </c>
      <c r="U549">
        <v>706.7858992589853</v>
      </c>
      <c r="V549">
        <v>64.30793129118878</v>
      </c>
      <c r="W549">
        <v>10.9906489770077</v>
      </c>
      <c r="X549" t="s">
        <v>57</v>
      </c>
      <c r="Y549">
        <v>8</v>
      </c>
      <c r="Z549">
        <v>328.476</v>
      </c>
      <c r="AA549">
        <v>95.163399999999996</v>
      </c>
      <c r="AB549">
        <v>51.296399999999998</v>
      </c>
      <c r="AC549">
        <v>14.65109607438017</v>
      </c>
      <c r="AE549">
        <v>95.163399999999996</v>
      </c>
      <c r="AF549" t="s">
        <v>62</v>
      </c>
      <c r="AG549" t="b">
        <v>0</v>
      </c>
      <c r="AH549">
        <v>6.4953092599268896</v>
      </c>
      <c r="AI549">
        <v>326.20299999999997</v>
      </c>
      <c r="AJ549">
        <v>91.310100000000006</v>
      </c>
      <c r="AK549">
        <v>32.289299999999997</v>
      </c>
      <c r="AL549">
        <v>14.419940368309479</v>
      </c>
      <c r="AN549">
        <v>91.310100000000006</v>
      </c>
      <c r="AO549" t="s">
        <v>62</v>
      </c>
      <c r="AP549" t="b">
        <v>0</v>
      </c>
      <c r="AQ549">
        <v>6.3322106519019332</v>
      </c>
      <c r="AR549">
        <v>328.476</v>
      </c>
      <c r="AS549">
        <v>95.163399999999996</v>
      </c>
      <c r="AT549">
        <v>6.4953092599268896</v>
      </c>
      <c r="AU549" s="5">
        <v>71.087059799999992</v>
      </c>
      <c r="AV549" s="5">
        <v>101.53934779999999</v>
      </c>
      <c r="AW549" s="5">
        <v>4.8519960171653862</v>
      </c>
      <c r="AX549" s="5">
        <v>6.9304949803419911</v>
      </c>
      <c r="AY549" t="s">
        <v>59</v>
      </c>
      <c r="AZ549" t="s">
        <v>60</v>
      </c>
      <c r="BA549" s="23">
        <f t="shared" si="8"/>
        <v>0</v>
      </c>
      <c r="BB549" s="23">
        <f>IF(AND(ISNUMBER(H549),Metadata!$H$5&gt;Metadata!$G$5),MAX(Metadata!$G$5-H549,0,H549-Metadata!$H$5)/(Metadata!$H$5-Metadata!$G$5),"Missing input")</f>
        <v>0</v>
      </c>
      <c r="BC549" s="23">
        <f>IF(AND(ISNUMBER(L549),Metadata!$H$8&gt;Metadata!$G$8),MAX(Metadata!$G$8-L549,0,L549-Metadata!$H$8)/(Metadata!$H$8-Metadata!$G$8),"Missing input")</f>
        <v>0</v>
      </c>
    </row>
    <row r="550" spans="1:55" x14ac:dyDescent="0.2">
      <c r="A550" t="s">
        <v>643</v>
      </c>
      <c r="B550" t="s">
        <v>635</v>
      </c>
      <c r="C550" t="s">
        <v>466</v>
      </c>
      <c r="D550" t="s">
        <v>55</v>
      </c>
      <c r="E550" t="s">
        <v>467</v>
      </c>
      <c r="F550">
        <v>9</v>
      </c>
      <c r="G550">
        <v>59.748609235827082</v>
      </c>
      <c r="H550">
        <v>37.783512331141722</v>
      </c>
      <c r="I550">
        <v>0.54</v>
      </c>
      <c r="J550">
        <v>0.4</v>
      </c>
      <c r="K550">
        <v>0.54</v>
      </c>
      <c r="L550">
        <v>0.25</v>
      </c>
      <c r="N550">
        <v>125</v>
      </c>
      <c r="O550">
        <v>10</v>
      </c>
      <c r="P550">
        <v>4</v>
      </c>
      <c r="Q550">
        <v>0.53616514621265798</v>
      </c>
      <c r="R550">
        <v>6726258.2664913209</v>
      </c>
      <c r="S550">
        <v>-4.8367779863812818E-3</v>
      </c>
      <c r="T550">
        <v>2777.1031411923241</v>
      </c>
      <c r="U550">
        <v>822.87545002106197</v>
      </c>
      <c r="V550">
        <v>614.4033498213106</v>
      </c>
      <c r="W550">
        <v>1.3393082089483761</v>
      </c>
      <c r="X550" t="s">
        <v>57</v>
      </c>
      <c r="Y550">
        <v>8</v>
      </c>
      <c r="Z550">
        <v>1054.3499999999999</v>
      </c>
      <c r="AA550">
        <v>95.163399999999996</v>
      </c>
      <c r="AB550">
        <v>27.986799999999999</v>
      </c>
      <c r="AC550">
        <v>12.744615077462189</v>
      </c>
      <c r="AD550">
        <v>29.05114528888393</v>
      </c>
      <c r="AE550">
        <v>29.05114528888393</v>
      </c>
      <c r="AF550" t="s">
        <v>58</v>
      </c>
      <c r="AG550" t="b">
        <v>1</v>
      </c>
      <c r="AH550">
        <v>2.2794839320222779</v>
      </c>
      <c r="AI550">
        <v>1052.53</v>
      </c>
      <c r="AJ550">
        <v>91.310100000000006</v>
      </c>
      <c r="AK550">
        <v>28.431100000000001</v>
      </c>
      <c r="AL550">
        <v>11.85102674401309</v>
      </c>
      <c r="AM550">
        <v>29.771113970273621</v>
      </c>
      <c r="AN550">
        <v>29.771113970273621</v>
      </c>
      <c r="AO550" t="s">
        <v>58</v>
      </c>
      <c r="AP550" t="b">
        <v>1</v>
      </c>
      <c r="AQ550">
        <v>2.512112630689439</v>
      </c>
      <c r="AR550">
        <v>1054.3499999999999</v>
      </c>
      <c r="AS550">
        <v>29.771113970273621</v>
      </c>
      <c r="AT550">
        <v>2.512112630689439</v>
      </c>
      <c r="AU550" s="5">
        <v>22.239022135794396</v>
      </c>
      <c r="AV550" s="5">
        <v>31.765778606281952</v>
      </c>
      <c r="AW550" s="5">
        <v>1.8765481351250108</v>
      </c>
      <c r="AX550" s="5">
        <v>2.6804241769456314</v>
      </c>
      <c r="AY550" t="s">
        <v>59</v>
      </c>
      <c r="AZ550" t="s">
        <v>60</v>
      </c>
      <c r="BA550" s="23">
        <f t="shared" si="8"/>
        <v>0</v>
      </c>
      <c r="BB550" s="23">
        <f>IF(AND(ISNUMBER(H550),Metadata!$H$5&gt;Metadata!$G$5),MAX(Metadata!$G$5-H550,0,H550-Metadata!$H$5)/(Metadata!$H$5-Metadata!$G$5),"Missing input")</f>
        <v>0</v>
      </c>
      <c r="BC550" s="23">
        <f>IF(AND(ISNUMBER(L550),Metadata!$H$8&gt;Metadata!$G$8),MAX(Metadata!$G$8-L550,0,L550-Metadata!$H$8)/(Metadata!$H$8-Metadata!$G$8),"Missing input")</f>
        <v>0</v>
      </c>
    </row>
    <row r="551" spans="1:55" x14ac:dyDescent="0.2">
      <c r="A551" t="s">
        <v>644</v>
      </c>
      <c r="B551" t="s">
        <v>635</v>
      </c>
      <c r="C551" t="s">
        <v>466</v>
      </c>
      <c r="D551" t="s">
        <v>55</v>
      </c>
      <c r="E551" t="s">
        <v>467</v>
      </c>
      <c r="F551">
        <v>10</v>
      </c>
      <c r="G551">
        <v>34.746337553007109</v>
      </c>
      <c r="H551">
        <v>23.7414613202046</v>
      </c>
      <c r="I551">
        <v>0.54</v>
      </c>
      <c r="J551">
        <v>0.4</v>
      </c>
      <c r="K551">
        <v>0.54</v>
      </c>
      <c r="L551">
        <v>0.25</v>
      </c>
      <c r="N551">
        <v>125</v>
      </c>
      <c r="O551">
        <v>10</v>
      </c>
      <c r="P551">
        <v>4</v>
      </c>
      <c r="Q551">
        <v>0.53616514621265798</v>
      </c>
      <c r="R551">
        <v>2428507.8121004719</v>
      </c>
      <c r="S551">
        <v>-4.3297903116406413E-3</v>
      </c>
      <c r="T551">
        <v>923.06379457674404</v>
      </c>
      <c r="U551">
        <v>731.44834288856589</v>
      </c>
      <c r="V551">
        <v>204.2176536674213</v>
      </c>
      <c r="W551">
        <v>3.5817096600265832</v>
      </c>
      <c r="X551" t="s">
        <v>57</v>
      </c>
      <c r="Y551">
        <v>8</v>
      </c>
      <c r="Z551">
        <v>589.21199999999999</v>
      </c>
      <c r="AA551">
        <v>95.163399999999996</v>
      </c>
      <c r="AB551">
        <v>37.809100000000001</v>
      </c>
      <c r="AC551">
        <v>12.821391703248461</v>
      </c>
      <c r="AD551">
        <v>45.620883938156361</v>
      </c>
      <c r="AE551">
        <v>45.620883938156361</v>
      </c>
      <c r="AF551" t="s">
        <v>58</v>
      </c>
      <c r="AG551" t="b">
        <v>1</v>
      </c>
      <c r="AH551">
        <v>3.558185023439985</v>
      </c>
      <c r="AI551">
        <v>588.22</v>
      </c>
      <c r="AJ551">
        <v>91.310100000000006</v>
      </c>
      <c r="AK551">
        <v>38.051000000000002</v>
      </c>
      <c r="AL551">
        <v>12.640081676342531</v>
      </c>
      <c r="AM551">
        <v>45.702769453039792</v>
      </c>
      <c r="AN551">
        <v>45.702769453039792</v>
      </c>
      <c r="AO551" t="s">
        <v>58</v>
      </c>
      <c r="AP551" t="b">
        <v>1</v>
      </c>
      <c r="AQ551">
        <v>3.6157020676993059</v>
      </c>
      <c r="AR551">
        <v>589.21199999999999</v>
      </c>
      <c r="AS551">
        <v>45.702769453039792</v>
      </c>
      <c r="AT551">
        <v>3.6157020676993059</v>
      </c>
      <c r="AU551" s="5">
        <v>34.139968781420727</v>
      </c>
      <c r="AV551" s="5">
        <v>48.764855006393454</v>
      </c>
      <c r="AW551" s="5">
        <v>2.7009294445713814</v>
      </c>
      <c r="AX551" s="5">
        <v>3.8579541062351592</v>
      </c>
      <c r="AY551" t="s">
        <v>59</v>
      </c>
      <c r="AZ551" t="s">
        <v>60</v>
      </c>
      <c r="BA551" s="23">
        <f t="shared" si="8"/>
        <v>0</v>
      </c>
      <c r="BB551" s="23">
        <f>IF(AND(ISNUMBER(H551),Metadata!$H$5&gt;Metadata!$G$5),MAX(Metadata!$G$5-H551,0,H551-Metadata!$H$5)/(Metadata!$H$5-Metadata!$G$5),"Missing input")</f>
        <v>0</v>
      </c>
      <c r="BC551" s="23">
        <f>IF(AND(ISNUMBER(L551),Metadata!$H$8&gt;Metadata!$G$8),MAX(Metadata!$G$8-L551,0,L551-Metadata!$H$8)/(Metadata!$H$8-Metadata!$G$8),"Missing input")</f>
        <v>0</v>
      </c>
    </row>
    <row r="552" spans="1:55" x14ac:dyDescent="0.2">
      <c r="A552" t="s">
        <v>645</v>
      </c>
      <c r="B552" t="s">
        <v>635</v>
      </c>
      <c r="C552" t="s">
        <v>466</v>
      </c>
      <c r="D552" t="s">
        <v>55</v>
      </c>
      <c r="E552" t="s">
        <v>467</v>
      </c>
      <c r="F552">
        <v>11</v>
      </c>
      <c r="G552">
        <v>24.502161634428251</v>
      </c>
      <c r="H552">
        <v>33.048591474592847</v>
      </c>
      <c r="I552">
        <v>0.54</v>
      </c>
      <c r="J552">
        <v>0.4</v>
      </c>
      <c r="K552">
        <v>0.54</v>
      </c>
      <c r="L552">
        <v>0.25</v>
      </c>
      <c r="N552">
        <v>125</v>
      </c>
      <c r="O552">
        <v>10</v>
      </c>
      <c r="P552">
        <v>4</v>
      </c>
      <c r="Q552">
        <v>0.53616514621265798</v>
      </c>
      <c r="R552">
        <v>2383007.1153019848</v>
      </c>
      <c r="S552">
        <v>-4.7799274474320244E-3</v>
      </c>
      <c r="T552">
        <v>948.37589445314859</v>
      </c>
      <c r="U552">
        <v>684.38581388777777</v>
      </c>
      <c r="V552">
        <v>209.81767576397101</v>
      </c>
      <c r="W552">
        <v>3.2618120060469078</v>
      </c>
      <c r="X552" t="s">
        <v>57</v>
      </c>
      <c r="Y552">
        <v>8</v>
      </c>
      <c r="Z552">
        <v>487.41500000000002</v>
      </c>
      <c r="AA552">
        <v>95.163399999999996</v>
      </c>
      <c r="AB552">
        <v>30.0017</v>
      </c>
      <c r="AC552">
        <v>11.66264478591161</v>
      </c>
      <c r="AD552">
        <v>33.410475714494311</v>
      </c>
      <c r="AE552">
        <v>33.410475714494311</v>
      </c>
      <c r="AF552" t="s">
        <v>58</v>
      </c>
      <c r="AG552" t="b">
        <v>1</v>
      </c>
      <c r="AH552">
        <v>2.86474263152162</v>
      </c>
      <c r="AI552">
        <v>490.09500000000003</v>
      </c>
      <c r="AJ552">
        <v>91.310100000000006</v>
      </c>
      <c r="AK552">
        <v>30.5745</v>
      </c>
      <c r="AL552">
        <v>11.27267577011937</v>
      </c>
      <c r="AM552">
        <v>32.932650540488808</v>
      </c>
      <c r="AN552">
        <v>32.932650540488808</v>
      </c>
      <c r="AO552" t="s">
        <v>58</v>
      </c>
      <c r="AP552" t="b">
        <v>1</v>
      </c>
      <c r="AQ552">
        <v>2.9214581535099069</v>
      </c>
      <c r="AR552">
        <v>490.09500000000003</v>
      </c>
      <c r="AS552">
        <v>33.410475714494311</v>
      </c>
      <c r="AT552">
        <v>2.9214581535099069</v>
      </c>
      <c r="AU552" s="5">
        <v>24.957625358727249</v>
      </c>
      <c r="AV552" s="5">
        <v>35.64897758736543</v>
      </c>
      <c r="AW552" s="5">
        <v>2.1823292406719004</v>
      </c>
      <c r="AX552" s="5">
        <v>3.1171958497950705</v>
      </c>
      <c r="AY552" t="s">
        <v>59</v>
      </c>
      <c r="AZ552" t="s">
        <v>60</v>
      </c>
      <c r="BA552" s="23">
        <f t="shared" si="8"/>
        <v>0</v>
      </c>
      <c r="BB552" s="23">
        <f>IF(AND(ISNUMBER(H552),Metadata!$H$5&gt;Metadata!$G$5),MAX(Metadata!$G$5-H552,0,H552-Metadata!$H$5)/(Metadata!$H$5-Metadata!$G$5),"Missing input")</f>
        <v>0</v>
      </c>
      <c r="BC552" s="23">
        <f>IF(AND(ISNUMBER(L552),Metadata!$H$8&gt;Metadata!$G$8),MAX(Metadata!$G$8-L552,0,L552-Metadata!$H$8)/(Metadata!$H$8-Metadata!$G$8),"Missing input")</f>
        <v>0</v>
      </c>
    </row>
    <row r="553" spans="1:55" x14ac:dyDescent="0.2">
      <c r="A553" t="s">
        <v>646</v>
      </c>
      <c r="B553" t="s">
        <v>635</v>
      </c>
      <c r="C553" t="s">
        <v>466</v>
      </c>
      <c r="D553" t="s">
        <v>55</v>
      </c>
      <c r="E553" t="s">
        <v>467</v>
      </c>
      <c r="F553">
        <v>12</v>
      </c>
      <c r="G553">
        <v>56.241153781572699</v>
      </c>
      <c r="H553">
        <v>14.78764467513273</v>
      </c>
      <c r="I553">
        <v>0.54</v>
      </c>
      <c r="J553">
        <v>0.4</v>
      </c>
      <c r="K553">
        <v>0.54</v>
      </c>
      <c r="L553">
        <v>0.25</v>
      </c>
      <c r="N553">
        <v>125</v>
      </c>
      <c r="O553">
        <v>10</v>
      </c>
      <c r="P553">
        <v>4</v>
      </c>
      <c r="Q553">
        <v>0.53616514621265798</v>
      </c>
      <c r="R553">
        <v>2448743.9197241841</v>
      </c>
      <c r="S553">
        <v>-3.451967085801371E-3</v>
      </c>
      <c r="T553">
        <v>870.64979480886882</v>
      </c>
      <c r="U553">
        <v>811.40111588676484</v>
      </c>
      <c r="V553">
        <v>192.62163601966131</v>
      </c>
      <c r="W553">
        <v>4.2124090141355852</v>
      </c>
      <c r="X553" t="s">
        <v>57</v>
      </c>
      <c r="Y553">
        <v>8</v>
      </c>
      <c r="Z553">
        <v>684.24</v>
      </c>
      <c r="AA553">
        <v>95.163399999999996</v>
      </c>
      <c r="AB553">
        <v>50.613599999999998</v>
      </c>
      <c r="AC553">
        <v>12.680125253312561</v>
      </c>
      <c r="AD553">
        <v>74.326733165256911</v>
      </c>
      <c r="AE553">
        <v>74.326733165256911</v>
      </c>
      <c r="AF553" t="s">
        <v>58</v>
      </c>
      <c r="AG553" t="b">
        <v>1</v>
      </c>
      <c r="AH553">
        <v>5.8616718431736157</v>
      </c>
      <c r="AI553">
        <v>679.93299999999999</v>
      </c>
      <c r="AJ553">
        <v>91.310100000000006</v>
      </c>
      <c r="AK553">
        <v>50.726999999999997</v>
      </c>
      <c r="AL553">
        <v>12.43786007285162</v>
      </c>
      <c r="AM553">
        <v>73.850763877220885</v>
      </c>
      <c r="AN553">
        <v>73.850763877220885</v>
      </c>
      <c r="AO553" t="s">
        <v>58</v>
      </c>
      <c r="AP553" t="b">
        <v>1</v>
      </c>
      <c r="AQ553">
        <v>5.9375779631430738</v>
      </c>
      <c r="AR553">
        <v>684.24</v>
      </c>
      <c r="AS553">
        <v>74.326733165256911</v>
      </c>
      <c r="AT553">
        <v>5.9375779631430738</v>
      </c>
      <c r="AU553" s="5">
        <v>55.522069674446911</v>
      </c>
      <c r="AV553" s="5">
        <v>79.306624287329115</v>
      </c>
      <c r="AW553" s="5">
        <v>4.435370738467876</v>
      </c>
      <c r="AX553" s="5">
        <v>6.3353956866736594</v>
      </c>
      <c r="AY553" t="s">
        <v>59</v>
      </c>
      <c r="AZ553" t="s">
        <v>60</v>
      </c>
      <c r="BA553" s="23">
        <f t="shared" si="8"/>
        <v>0</v>
      </c>
      <c r="BB553" s="23">
        <f>IF(AND(ISNUMBER(H553),Metadata!$H$5&gt;Metadata!$G$5),MAX(Metadata!$G$5-H553,0,H553-Metadata!$H$5)/(Metadata!$H$5-Metadata!$G$5),"Missing input")</f>
        <v>0</v>
      </c>
      <c r="BC553" s="23">
        <f>IF(AND(ISNUMBER(L553),Metadata!$H$8&gt;Metadata!$G$8),MAX(Metadata!$G$8-L553,0,L553-Metadata!$H$8)/(Metadata!$H$8-Metadata!$G$8),"Missing input")</f>
        <v>0</v>
      </c>
    </row>
    <row r="554" spans="1:55" x14ac:dyDescent="0.2">
      <c r="A554" t="s">
        <v>647</v>
      </c>
      <c r="B554" t="s">
        <v>635</v>
      </c>
      <c r="C554" t="s">
        <v>466</v>
      </c>
      <c r="D554" t="s">
        <v>55</v>
      </c>
      <c r="E554" t="s">
        <v>467</v>
      </c>
      <c r="F554">
        <v>13</v>
      </c>
      <c r="G554">
        <v>49.119901382435643</v>
      </c>
      <c r="H554">
        <v>22.54933477691009</v>
      </c>
      <c r="I554">
        <v>0.54</v>
      </c>
      <c r="J554">
        <v>0.4</v>
      </c>
      <c r="K554">
        <v>0.54</v>
      </c>
      <c r="L554">
        <v>0.25</v>
      </c>
      <c r="N554">
        <v>125</v>
      </c>
      <c r="O554">
        <v>10</v>
      </c>
      <c r="P554">
        <v>4</v>
      </c>
      <c r="Q554">
        <v>0.53616514621265798</v>
      </c>
      <c r="R554">
        <v>3276584.6264440492</v>
      </c>
      <c r="S554">
        <v>-4.2361512370847941E-3</v>
      </c>
      <c r="T554">
        <v>1225.0752185758249</v>
      </c>
      <c r="U554">
        <v>786.94653369120795</v>
      </c>
      <c r="V554">
        <v>271.03434039288157</v>
      </c>
      <c r="W554">
        <v>2.9034938249908802</v>
      </c>
      <c r="X554" t="s">
        <v>57</v>
      </c>
      <c r="Y554">
        <v>8</v>
      </c>
      <c r="Z554">
        <v>756.93100000000004</v>
      </c>
      <c r="AA554">
        <v>95.163399999999996</v>
      </c>
      <c r="AB554">
        <v>37.809100000000001</v>
      </c>
      <c r="AC554">
        <v>12.780790271684101</v>
      </c>
      <c r="AD554">
        <v>49.349524251756293</v>
      </c>
      <c r="AE554">
        <v>49.349524251756293</v>
      </c>
      <c r="AF554" t="s">
        <v>58</v>
      </c>
      <c r="AG554" t="b">
        <v>1</v>
      </c>
      <c r="AH554">
        <v>3.8612263563302789</v>
      </c>
      <c r="AI554">
        <v>758.13499999999999</v>
      </c>
      <c r="AJ554">
        <v>91.310100000000006</v>
      </c>
      <c r="AK554">
        <v>39.358900000000013</v>
      </c>
      <c r="AL554">
        <v>12.76625248752771</v>
      </c>
      <c r="AM554">
        <v>49.794046698910343</v>
      </c>
      <c r="AN554">
        <v>49.794046698910343</v>
      </c>
      <c r="AO554" t="s">
        <v>58</v>
      </c>
      <c r="AP554" t="b">
        <v>1</v>
      </c>
      <c r="AQ554">
        <v>3.9004435128913362</v>
      </c>
      <c r="AR554">
        <v>758.13499999999999</v>
      </c>
      <c r="AS554">
        <v>49.794046698910343</v>
      </c>
      <c r="AT554">
        <v>3.9004435128913362</v>
      </c>
      <c r="AU554" s="5">
        <v>37.196152884086025</v>
      </c>
      <c r="AV554" s="5">
        <v>53.130247827737335</v>
      </c>
      <c r="AW554" s="5">
        <v>2.9136313041298281</v>
      </c>
      <c r="AX554" s="5">
        <v>4.1617732282550559</v>
      </c>
      <c r="AY554" t="s">
        <v>59</v>
      </c>
      <c r="AZ554" t="s">
        <v>60</v>
      </c>
      <c r="BA554" s="23">
        <f t="shared" si="8"/>
        <v>0</v>
      </c>
      <c r="BB554" s="23">
        <f>IF(AND(ISNUMBER(H554),Metadata!$H$5&gt;Metadata!$G$5),MAX(Metadata!$G$5-H554,0,H554-Metadata!$H$5)/(Metadata!$H$5-Metadata!$G$5),"Missing input")</f>
        <v>0</v>
      </c>
      <c r="BC554" s="23">
        <f>IF(AND(ISNUMBER(L554),Metadata!$H$8&gt;Metadata!$G$8),MAX(Metadata!$G$8-L554,0,L554-Metadata!$H$8)/(Metadata!$H$8-Metadata!$G$8),"Missing input")</f>
        <v>0</v>
      </c>
    </row>
    <row r="555" spans="1:55" x14ac:dyDescent="0.2">
      <c r="A555" t="s">
        <v>648</v>
      </c>
      <c r="B555" t="s">
        <v>635</v>
      </c>
      <c r="C555" t="s">
        <v>466</v>
      </c>
      <c r="D555" t="s">
        <v>55</v>
      </c>
      <c r="E555" t="s">
        <v>467</v>
      </c>
      <c r="F555">
        <v>14</v>
      </c>
      <c r="G555">
        <v>37.958866376576751</v>
      </c>
      <c r="H555">
        <v>9.8264864335603903</v>
      </c>
      <c r="I555">
        <v>0.54</v>
      </c>
      <c r="J555">
        <v>0.4</v>
      </c>
      <c r="K555">
        <v>0.54</v>
      </c>
      <c r="L555">
        <v>0.25</v>
      </c>
      <c r="N555">
        <v>125</v>
      </c>
      <c r="O555">
        <v>10</v>
      </c>
      <c r="P555">
        <v>4</v>
      </c>
      <c r="Q555">
        <v>0.53616514621265798</v>
      </c>
      <c r="R555">
        <v>1072728.181448289</v>
      </c>
      <c r="S555">
        <v>-2.857245928639205E-3</v>
      </c>
      <c r="T555">
        <v>419.94789445308231</v>
      </c>
      <c r="U555">
        <v>744.72430032575369</v>
      </c>
      <c r="V555">
        <v>92.908826206434128</v>
      </c>
      <c r="W555">
        <v>8.0156464216978769</v>
      </c>
      <c r="X555" t="s">
        <v>57</v>
      </c>
      <c r="Y555">
        <v>8</v>
      </c>
      <c r="Z555">
        <v>425.24700000000001</v>
      </c>
      <c r="AA555">
        <v>95.163399999999996</v>
      </c>
      <c r="AB555">
        <v>51.296399999999998</v>
      </c>
      <c r="AC555">
        <v>13.47071284375</v>
      </c>
      <c r="AD555">
        <v>94.698474065891332</v>
      </c>
      <c r="AE555">
        <v>94.698474065891332</v>
      </c>
      <c r="AF555" t="s">
        <v>58</v>
      </c>
      <c r="AG555" t="b">
        <v>1</v>
      </c>
      <c r="AH555">
        <v>7.0299526954750977</v>
      </c>
      <c r="AI555">
        <v>421.34199999999998</v>
      </c>
      <c r="AJ555">
        <v>91.310100000000006</v>
      </c>
      <c r="AK555">
        <v>51.757599999999996</v>
      </c>
      <c r="AL555">
        <v>13.157053481963921</v>
      </c>
      <c r="AN555">
        <v>91.310100000000006</v>
      </c>
      <c r="AO555" t="s">
        <v>62</v>
      </c>
      <c r="AP555" t="b">
        <v>0</v>
      </c>
      <c r="AQ555">
        <v>6.9400113121961988</v>
      </c>
      <c r="AR555">
        <v>425.24700000000001</v>
      </c>
      <c r="AS555">
        <v>94.698474065891332</v>
      </c>
      <c r="AT555">
        <v>7.0299526954750977</v>
      </c>
      <c r="AU555" s="5">
        <v>70.739760127220819</v>
      </c>
      <c r="AV555" s="5">
        <v>101.04327182830605</v>
      </c>
      <c r="AW555" s="5">
        <v>5.2513746635198979</v>
      </c>
      <c r="AX555" s="5">
        <v>7.5009595260719291</v>
      </c>
      <c r="AY555" t="s">
        <v>59</v>
      </c>
      <c r="AZ555" t="s">
        <v>60</v>
      </c>
      <c r="BA555" s="23">
        <f t="shared" si="8"/>
        <v>0</v>
      </c>
      <c r="BB555" s="23">
        <f>IF(AND(ISNUMBER(H555),Metadata!$H$5&gt;Metadata!$G$5),MAX(Metadata!$G$5-H555,0,H555-Metadata!$H$5)/(Metadata!$H$5-Metadata!$G$5),"Missing input")</f>
        <v>0</v>
      </c>
      <c r="BC555" s="23">
        <f>IF(AND(ISNUMBER(L555),Metadata!$H$8&gt;Metadata!$G$8),MAX(Metadata!$G$8-L555,0,L555-Metadata!$H$8)/(Metadata!$H$8-Metadata!$G$8),"Missing input")</f>
        <v>0</v>
      </c>
    </row>
    <row r="556" spans="1:55" x14ac:dyDescent="0.2">
      <c r="A556" t="s">
        <v>649</v>
      </c>
      <c r="B556" t="s">
        <v>635</v>
      </c>
      <c r="C556" t="s">
        <v>466</v>
      </c>
      <c r="D556" t="s">
        <v>55</v>
      </c>
      <c r="E556" t="s">
        <v>467</v>
      </c>
      <c r="F556">
        <v>15</v>
      </c>
      <c r="G556">
        <v>27.308053040943211</v>
      </c>
      <c r="H556">
        <v>5.2772178758296739</v>
      </c>
      <c r="I556">
        <v>0.54</v>
      </c>
      <c r="J556">
        <v>0.4</v>
      </c>
      <c r="K556">
        <v>0.54</v>
      </c>
      <c r="L556">
        <v>0.25</v>
      </c>
      <c r="N556">
        <v>125</v>
      </c>
      <c r="O556">
        <v>10</v>
      </c>
      <c r="P556">
        <v>4</v>
      </c>
      <c r="Q556">
        <v>0.53616514621265798</v>
      </c>
      <c r="R556">
        <v>386052.96198531118</v>
      </c>
      <c r="S556">
        <v>-2.321493048816911E-3</v>
      </c>
      <c r="T556">
        <v>239.5793593210272</v>
      </c>
      <c r="U556">
        <v>698.12364149884274</v>
      </c>
      <c r="V556">
        <v>53.004283035625498</v>
      </c>
      <c r="W556">
        <v>13.17107979801588</v>
      </c>
      <c r="X556" t="s">
        <v>57</v>
      </c>
      <c r="Y556">
        <v>8</v>
      </c>
      <c r="Z556">
        <v>288.28199999999998</v>
      </c>
      <c r="AA556">
        <v>95.163399999999996</v>
      </c>
      <c r="AB556">
        <v>65.006200000000007</v>
      </c>
      <c r="AC556">
        <v>15.34757089041096</v>
      </c>
      <c r="AE556">
        <v>95.163399999999996</v>
      </c>
      <c r="AF556" t="s">
        <v>62</v>
      </c>
      <c r="AG556" t="b">
        <v>0</v>
      </c>
      <c r="AH556">
        <v>6.2005512585354694</v>
      </c>
      <c r="AI556">
        <v>288.358</v>
      </c>
      <c r="AJ556">
        <v>91.310100000000006</v>
      </c>
      <c r="AK556">
        <v>32.289299999999997</v>
      </c>
      <c r="AL556">
        <v>15.365616959064329</v>
      </c>
      <c r="AN556">
        <v>91.310100000000006</v>
      </c>
      <c r="AO556" t="s">
        <v>62</v>
      </c>
      <c r="AP556" t="b">
        <v>0</v>
      </c>
      <c r="AQ556">
        <v>5.9424948730181173</v>
      </c>
      <c r="AR556">
        <v>288.358</v>
      </c>
      <c r="AS556">
        <v>95.163399999999996</v>
      </c>
      <c r="AT556">
        <v>6.2005512585354694</v>
      </c>
      <c r="AU556" s="5">
        <v>71.087059799999992</v>
      </c>
      <c r="AV556" s="5">
        <v>101.53934779999999</v>
      </c>
      <c r="AW556" s="5">
        <v>4.6318117901259956</v>
      </c>
      <c r="AX556" s="5">
        <v>6.6159881928573459</v>
      </c>
      <c r="AY556" t="s">
        <v>59</v>
      </c>
      <c r="AZ556" t="s">
        <v>60</v>
      </c>
      <c r="BA556" s="23">
        <f t="shared" si="8"/>
        <v>0</v>
      </c>
      <c r="BB556" s="23">
        <f>IF(AND(ISNUMBER(H556),Metadata!$H$5&gt;Metadata!$G$5),MAX(Metadata!$G$5-H556,0,H556-Metadata!$H$5)/(Metadata!$H$5-Metadata!$G$5),"Missing input")</f>
        <v>0</v>
      </c>
      <c r="BC556" s="23">
        <f>IF(AND(ISNUMBER(L556),Metadata!$H$8&gt;Metadata!$G$8),MAX(Metadata!$G$8-L556,0,L556-Metadata!$H$8)/(Metadata!$H$8-Metadata!$G$8),"Missing input")</f>
        <v>0</v>
      </c>
    </row>
    <row r="557" spans="1:55" x14ac:dyDescent="0.2">
      <c r="A557" t="s">
        <v>650</v>
      </c>
      <c r="B557" t="s">
        <v>635</v>
      </c>
      <c r="C557" t="s">
        <v>466</v>
      </c>
      <c r="D557" t="s">
        <v>55</v>
      </c>
      <c r="E557" t="s">
        <v>467</v>
      </c>
      <c r="F557">
        <v>16</v>
      </c>
      <c r="G557">
        <v>31.1252119640606</v>
      </c>
      <c r="H557">
        <v>39.5069074866867</v>
      </c>
      <c r="I557">
        <v>0.54</v>
      </c>
      <c r="J557">
        <v>0.4</v>
      </c>
      <c r="K557">
        <v>0.54</v>
      </c>
      <c r="L557">
        <v>0.25</v>
      </c>
      <c r="N557">
        <v>125</v>
      </c>
      <c r="O557">
        <v>10</v>
      </c>
      <c r="P557">
        <v>4</v>
      </c>
      <c r="Q557">
        <v>0.53616514621265798</v>
      </c>
      <c r="R557">
        <v>3642703.933702969</v>
      </c>
      <c r="S557">
        <v>-4.8334901625558362E-3</v>
      </c>
      <c r="T557">
        <v>1472.8822699187419</v>
      </c>
      <c r="U557">
        <v>715.72465594585606</v>
      </c>
      <c r="V557">
        <v>325.85890927405802</v>
      </c>
      <c r="W557">
        <v>2.196425003509443</v>
      </c>
      <c r="X557" t="s">
        <v>57</v>
      </c>
      <c r="Y557">
        <v>8</v>
      </c>
      <c r="Z557">
        <v>603.12099999999998</v>
      </c>
      <c r="AA557">
        <v>95.163399999999996</v>
      </c>
      <c r="AB557">
        <v>25.7987</v>
      </c>
      <c r="AC557">
        <v>11.07998127575277</v>
      </c>
      <c r="AD557">
        <v>26.984049491469779</v>
      </c>
      <c r="AE557">
        <v>26.984049491469779</v>
      </c>
      <c r="AF557" t="s">
        <v>58</v>
      </c>
      <c r="AG557" t="b">
        <v>1</v>
      </c>
      <c r="AH557">
        <v>2.4353876437066901</v>
      </c>
      <c r="AI557">
        <v>605.03899999999999</v>
      </c>
      <c r="AJ557">
        <v>91.310100000000006</v>
      </c>
      <c r="AK557">
        <v>26.501899999999999</v>
      </c>
      <c r="AL557">
        <v>10.34633211931444</v>
      </c>
      <c r="AM557">
        <v>28.520958443777818</v>
      </c>
      <c r="AN557">
        <v>28.520958443777818</v>
      </c>
      <c r="AO557" t="s">
        <v>58</v>
      </c>
      <c r="AP557" t="b">
        <v>1</v>
      </c>
      <c r="AQ557">
        <v>2.7566250643100041</v>
      </c>
      <c r="AR557">
        <v>605.03899999999999</v>
      </c>
      <c r="AS557">
        <v>28.520958443777818</v>
      </c>
      <c r="AT557">
        <v>2.7566250643100041</v>
      </c>
      <c r="AU557" s="5">
        <v>21.305155957502031</v>
      </c>
      <c r="AV557" s="5">
        <v>30.43186265951093</v>
      </c>
      <c r="AW557" s="5">
        <v>2.0591989230395731</v>
      </c>
      <c r="AX557" s="5">
        <v>2.9413189436187741</v>
      </c>
      <c r="AY557" t="s">
        <v>59</v>
      </c>
      <c r="AZ557" t="s">
        <v>60</v>
      </c>
      <c r="BA557" s="23">
        <f t="shared" si="8"/>
        <v>0</v>
      </c>
      <c r="BB557" s="23">
        <f>IF(AND(ISNUMBER(H557),Metadata!$H$5&gt;Metadata!$G$5),MAX(Metadata!$G$5-H557,0,H557-Metadata!$H$5)/(Metadata!$H$5-Metadata!$G$5),"Missing input")</f>
        <v>0</v>
      </c>
      <c r="BC557" s="23">
        <f>IF(AND(ISNUMBER(L557),Metadata!$H$8&gt;Metadata!$G$8),MAX(Metadata!$G$8-L557,0,L557-Metadata!$H$8)/(Metadata!$H$8-Metadata!$G$8),"Missing input")</f>
        <v>0</v>
      </c>
    </row>
    <row r="558" spans="1:55" x14ac:dyDescent="0.2">
      <c r="A558" t="s">
        <v>651</v>
      </c>
      <c r="B558" t="s">
        <v>635</v>
      </c>
      <c r="C558" t="s">
        <v>466</v>
      </c>
      <c r="D558" t="s">
        <v>55</v>
      </c>
      <c r="E558" t="s">
        <v>467</v>
      </c>
      <c r="F558">
        <v>17</v>
      </c>
      <c r="G558">
        <v>46.390186033042063</v>
      </c>
      <c r="H558">
        <v>16.21387510983789</v>
      </c>
      <c r="I558">
        <v>0.54</v>
      </c>
      <c r="J558">
        <v>0.4</v>
      </c>
      <c r="K558">
        <v>0.54</v>
      </c>
      <c r="L558">
        <v>0.25</v>
      </c>
      <c r="N558">
        <v>125</v>
      </c>
      <c r="O558">
        <v>10</v>
      </c>
      <c r="P558">
        <v>4</v>
      </c>
      <c r="Q558">
        <v>0.53616514621265798</v>
      </c>
      <c r="R558">
        <v>2210215.3729856689</v>
      </c>
      <c r="S558">
        <v>-3.6146163149178841E-3</v>
      </c>
      <c r="T558">
        <v>802.32674695229161</v>
      </c>
      <c r="U558">
        <v>777.10568399344538</v>
      </c>
      <c r="V558">
        <v>177.50591746732121</v>
      </c>
      <c r="W558">
        <v>4.377914241290072</v>
      </c>
      <c r="X558" t="s">
        <v>57</v>
      </c>
      <c r="Y558">
        <v>8</v>
      </c>
      <c r="Z558">
        <v>615.39499999999998</v>
      </c>
      <c r="AA558">
        <v>94.74730000000001</v>
      </c>
      <c r="AB558">
        <v>37.809100000000001</v>
      </c>
      <c r="AC558">
        <v>12.564991319592011</v>
      </c>
      <c r="AD558">
        <v>69.649234598107427</v>
      </c>
      <c r="AE558">
        <v>69.649234598107427</v>
      </c>
      <c r="AF558" t="s">
        <v>58</v>
      </c>
      <c r="AG558" t="b">
        <v>1</v>
      </c>
      <c r="AH558">
        <v>5.5431184014832233</v>
      </c>
      <c r="AI558">
        <v>614.89499999999998</v>
      </c>
      <c r="AJ558">
        <v>91.120800000000003</v>
      </c>
      <c r="AK558">
        <v>39.358900000000013</v>
      </c>
      <c r="AL558">
        <v>12.48217718027986</v>
      </c>
      <c r="AM558">
        <v>51.88770035364611</v>
      </c>
      <c r="AN558">
        <v>51.88770035364611</v>
      </c>
      <c r="AO558" t="s">
        <v>58</v>
      </c>
      <c r="AP558" t="b">
        <v>1</v>
      </c>
      <c r="AQ558">
        <v>4.1569431040941822</v>
      </c>
      <c r="AR558">
        <v>615.39499999999998</v>
      </c>
      <c r="AS558">
        <v>69.649234598107427</v>
      </c>
      <c r="AT558">
        <v>5.5431184014832233</v>
      </c>
      <c r="AU558" s="5">
        <v>52.027978244786247</v>
      </c>
      <c r="AV558" s="5">
        <v>74.315733316180626</v>
      </c>
      <c r="AW558" s="5">
        <v>4.1407094459079676</v>
      </c>
      <c r="AX558" s="5">
        <v>5.9145073343825993</v>
      </c>
      <c r="AY558" t="s">
        <v>59</v>
      </c>
      <c r="AZ558" t="s">
        <v>60</v>
      </c>
      <c r="BA558" s="23">
        <f t="shared" si="8"/>
        <v>0</v>
      </c>
      <c r="BB558" s="23">
        <f>IF(AND(ISNUMBER(H558),Metadata!$H$5&gt;Metadata!$G$5),MAX(Metadata!$G$5-H558,0,H558-Metadata!$H$5)/(Metadata!$H$5-Metadata!$G$5),"Missing input")</f>
        <v>0</v>
      </c>
      <c r="BC558" s="23">
        <f>IF(AND(ISNUMBER(L558),Metadata!$H$8&gt;Metadata!$G$8),MAX(Metadata!$G$8-L558,0,L558-Metadata!$H$8)/(Metadata!$H$8-Metadata!$G$8),"Missing input")</f>
        <v>0</v>
      </c>
    </row>
    <row r="559" spans="1:55" x14ac:dyDescent="0.2">
      <c r="A559" t="s">
        <v>652</v>
      </c>
      <c r="B559" t="s">
        <v>635</v>
      </c>
      <c r="C559" t="s">
        <v>466</v>
      </c>
      <c r="D559" t="s">
        <v>55</v>
      </c>
      <c r="E559" t="s">
        <v>467</v>
      </c>
      <c r="F559">
        <v>18</v>
      </c>
      <c r="G559">
        <v>54.165408264435399</v>
      </c>
      <c r="H559">
        <v>18.25275816413232</v>
      </c>
      <c r="I559">
        <v>0.54</v>
      </c>
      <c r="J559">
        <v>0.4</v>
      </c>
      <c r="K559">
        <v>0.54</v>
      </c>
      <c r="L559">
        <v>0.25</v>
      </c>
      <c r="N559">
        <v>125</v>
      </c>
      <c r="O559">
        <v>10</v>
      </c>
      <c r="P559">
        <v>4</v>
      </c>
      <c r="Q559">
        <v>0.53616514621265798</v>
      </c>
      <c r="R559">
        <v>2919725.6187367002</v>
      </c>
      <c r="S559">
        <v>-3.8348869305896058E-3</v>
      </c>
      <c r="T559">
        <v>1061.150183934016</v>
      </c>
      <c r="U559">
        <v>804.44140245145684</v>
      </c>
      <c r="V559">
        <v>234.76773980841071</v>
      </c>
      <c r="W559">
        <v>3.4265414963228999</v>
      </c>
      <c r="X559" t="s">
        <v>57</v>
      </c>
      <c r="Y559">
        <v>8</v>
      </c>
      <c r="Z559">
        <v>742.87199999999996</v>
      </c>
      <c r="AA559">
        <v>95.163399999999996</v>
      </c>
      <c r="AB559">
        <v>44.910200000000003</v>
      </c>
      <c r="AC559">
        <v>12.795418873937679</v>
      </c>
      <c r="AD559">
        <v>62.088182292300871</v>
      </c>
      <c r="AE559">
        <v>62.088182292300871</v>
      </c>
      <c r="AF559" t="s">
        <v>58</v>
      </c>
      <c r="AG559" t="b">
        <v>1</v>
      </c>
      <c r="AH559">
        <v>4.8523759092220944</v>
      </c>
      <c r="AI559">
        <v>737.14499999999998</v>
      </c>
      <c r="AJ559">
        <v>91.310100000000006</v>
      </c>
      <c r="AK559">
        <v>39.358900000000013</v>
      </c>
      <c r="AL559">
        <v>12.59436887173066</v>
      </c>
      <c r="AM559">
        <v>61.480254434423308</v>
      </c>
      <c r="AN559">
        <v>61.480254434423308</v>
      </c>
      <c r="AO559" t="s">
        <v>58</v>
      </c>
      <c r="AP559" t="b">
        <v>1</v>
      </c>
      <c r="AQ559">
        <v>4.8815669177692573</v>
      </c>
      <c r="AR559">
        <v>742.87199999999996</v>
      </c>
      <c r="AS559">
        <v>62.088182292300871</v>
      </c>
      <c r="AT559">
        <v>4.8815669177692573</v>
      </c>
      <c r="AU559" s="5">
        <v>46.379872172348747</v>
      </c>
      <c r="AV559" s="5">
        <v>66.248090505885031</v>
      </c>
      <c r="AW559" s="5">
        <v>3.6465304875736351</v>
      </c>
      <c r="AX559" s="5">
        <v>5.208631901259797</v>
      </c>
      <c r="AY559" t="s">
        <v>59</v>
      </c>
      <c r="AZ559" t="s">
        <v>60</v>
      </c>
      <c r="BA559" s="23">
        <f t="shared" si="8"/>
        <v>0</v>
      </c>
      <c r="BB559" s="23">
        <f>IF(AND(ISNUMBER(H559),Metadata!$H$5&gt;Metadata!$G$5),MAX(Metadata!$G$5-H559,0,H559-Metadata!$H$5)/(Metadata!$H$5-Metadata!$G$5),"Missing input")</f>
        <v>0</v>
      </c>
      <c r="BC559" s="23">
        <f>IF(AND(ISNUMBER(L559),Metadata!$H$8&gt;Metadata!$G$8),MAX(Metadata!$G$8-L559,0,L559-Metadata!$H$8)/(Metadata!$H$8-Metadata!$G$8),"Missing input")</f>
        <v>0</v>
      </c>
    </row>
    <row r="560" spans="1:55" x14ac:dyDescent="0.2">
      <c r="A560" t="s">
        <v>653</v>
      </c>
      <c r="B560" t="s">
        <v>635</v>
      </c>
      <c r="C560" t="s">
        <v>466</v>
      </c>
      <c r="D560" t="s">
        <v>55</v>
      </c>
      <c r="E560" t="s">
        <v>467</v>
      </c>
      <c r="F560">
        <v>19</v>
      </c>
      <c r="G560">
        <v>21.707483118551171</v>
      </c>
      <c r="H560">
        <v>43.497365085878002</v>
      </c>
      <c r="I560">
        <v>0.54</v>
      </c>
      <c r="J560">
        <v>0.4</v>
      </c>
      <c r="K560">
        <v>0.54</v>
      </c>
      <c r="L560">
        <v>0.25</v>
      </c>
      <c r="N560">
        <v>125</v>
      </c>
      <c r="O560">
        <v>10</v>
      </c>
      <c r="P560">
        <v>4</v>
      </c>
      <c r="Q560">
        <v>0.53616514621265798</v>
      </c>
      <c r="R560">
        <v>2786376.2799094608</v>
      </c>
      <c r="S560">
        <v>-4.7826944024843294E-3</v>
      </c>
      <c r="T560">
        <v>1142.9575086601999</v>
      </c>
      <c r="U560">
        <v>669.89609780516332</v>
      </c>
      <c r="V560">
        <v>252.86670545579639</v>
      </c>
      <c r="W560">
        <v>2.6492064133064281</v>
      </c>
      <c r="X560" t="s">
        <v>57</v>
      </c>
      <c r="Y560">
        <v>8</v>
      </c>
      <c r="Z560">
        <v>459.59399999999999</v>
      </c>
      <c r="AA560">
        <v>95.163399999999996</v>
      </c>
      <c r="AB560">
        <v>25.283100000000001</v>
      </c>
      <c r="AC560">
        <v>10.75992007086286</v>
      </c>
      <c r="AD560">
        <v>25.890974596213681</v>
      </c>
      <c r="AE560">
        <v>25.890974596213681</v>
      </c>
      <c r="AF560" t="s">
        <v>58</v>
      </c>
      <c r="AG560" t="b">
        <v>1</v>
      </c>
      <c r="AH560">
        <v>2.40624227928279</v>
      </c>
      <c r="AI560">
        <v>455.27600000000001</v>
      </c>
      <c r="AJ560">
        <v>91.310100000000006</v>
      </c>
      <c r="AK560">
        <v>24.358499999999999</v>
      </c>
      <c r="AL560">
        <v>9.9729232737653444</v>
      </c>
      <c r="AM560">
        <v>26.197498296797441</v>
      </c>
      <c r="AN560">
        <v>26.197498296797441</v>
      </c>
      <c r="AO560" t="s">
        <v>58</v>
      </c>
      <c r="AP560" t="b">
        <v>1</v>
      </c>
      <c r="AQ560">
        <v>2.626862513392866</v>
      </c>
      <c r="AR560">
        <v>459.59399999999999</v>
      </c>
      <c r="AS560">
        <v>26.197498296797441</v>
      </c>
      <c r="AT560">
        <v>2.626862513392866</v>
      </c>
      <c r="AU560" s="5">
        <v>19.569531227707689</v>
      </c>
      <c r="AV560" s="5">
        <v>27.952730682682869</v>
      </c>
      <c r="AW560" s="5">
        <v>1.9622662975044709</v>
      </c>
      <c r="AX560" s="5">
        <v>2.8028623017901881</v>
      </c>
      <c r="AY560" t="s">
        <v>64</v>
      </c>
      <c r="AZ560" t="s">
        <v>7</v>
      </c>
      <c r="BA560" s="23">
        <f t="shared" si="8"/>
        <v>9.4596678167087334E-2</v>
      </c>
      <c r="BB560" s="23">
        <f>IF(AND(ISNUMBER(H560),Metadata!$H$5&gt;Metadata!$G$5),MAX(Metadata!$G$5-H560,0,H560-Metadata!$H$5)/(Metadata!$H$5-Metadata!$G$5),"Missing input")</f>
        <v>9.4596678167087334E-2</v>
      </c>
      <c r="BC560" s="23">
        <f>IF(AND(ISNUMBER(L560),Metadata!$H$8&gt;Metadata!$G$8),MAX(Metadata!$G$8-L560,0,L560-Metadata!$H$8)/(Metadata!$H$8-Metadata!$G$8),"Missing input")</f>
        <v>0</v>
      </c>
    </row>
    <row r="561" spans="1:55" x14ac:dyDescent="0.2">
      <c r="A561" t="s">
        <v>654</v>
      </c>
      <c r="B561" t="s">
        <v>635</v>
      </c>
      <c r="C561" t="s">
        <v>466</v>
      </c>
      <c r="D561" t="s">
        <v>55</v>
      </c>
      <c r="E561" t="s">
        <v>467</v>
      </c>
      <c r="F561">
        <v>20</v>
      </c>
      <c r="G561">
        <v>53.035991243371583</v>
      </c>
      <c r="H561">
        <v>30.34654288470276</v>
      </c>
      <c r="I561">
        <v>0.54</v>
      </c>
      <c r="J561">
        <v>0.4</v>
      </c>
      <c r="K561">
        <v>0.54</v>
      </c>
      <c r="L561">
        <v>0.25</v>
      </c>
      <c r="N561">
        <v>125</v>
      </c>
      <c r="O561">
        <v>10</v>
      </c>
      <c r="P561">
        <v>4</v>
      </c>
      <c r="Q561">
        <v>0.53616514621265798</v>
      </c>
      <c r="R561">
        <v>4782098.2730990862</v>
      </c>
      <c r="S561">
        <v>-4.6988989376977354E-3</v>
      </c>
      <c r="T561">
        <v>1879.317920670838</v>
      </c>
      <c r="U561">
        <v>800.59853302729891</v>
      </c>
      <c r="V561">
        <v>415.77830103337129</v>
      </c>
      <c r="W561">
        <v>1.9255418838296741</v>
      </c>
      <c r="X561" t="s">
        <v>57</v>
      </c>
      <c r="Y561">
        <v>8</v>
      </c>
      <c r="Z561">
        <v>902.99900000000002</v>
      </c>
      <c r="AA561">
        <v>95.163399999999996</v>
      </c>
      <c r="AB561">
        <v>33.275799999999997</v>
      </c>
      <c r="AC561">
        <v>12.80881360751618</v>
      </c>
      <c r="AD561">
        <v>36.870398318567638</v>
      </c>
      <c r="AE561">
        <v>36.870398318567638</v>
      </c>
      <c r="AF561" t="s">
        <v>58</v>
      </c>
      <c r="AG561" t="b">
        <v>1</v>
      </c>
      <c r="AH561">
        <v>2.8785178275162182</v>
      </c>
      <c r="AI561">
        <v>900.36900000000003</v>
      </c>
      <c r="AJ561">
        <v>91.310100000000006</v>
      </c>
      <c r="AK561">
        <v>32.819300000000013</v>
      </c>
      <c r="AL561">
        <v>12.29633569979716</v>
      </c>
      <c r="AM561">
        <v>36.552738152000387</v>
      </c>
      <c r="AN561">
        <v>36.552738152000387</v>
      </c>
      <c r="AO561" t="s">
        <v>58</v>
      </c>
      <c r="AP561" t="b">
        <v>1</v>
      </c>
      <c r="AQ561">
        <v>2.972652914201372</v>
      </c>
      <c r="AR561">
        <v>902.99900000000002</v>
      </c>
      <c r="AS561">
        <v>36.870398318567638</v>
      </c>
      <c r="AT561">
        <v>2.972652914201372</v>
      </c>
      <c r="AU561" s="5">
        <v>27.542187543970027</v>
      </c>
      <c r="AV561" s="5">
        <v>39.340715005911669</v>
      </c>
      <c r="AW561" s="5">
        <v>2.2205717269084251</v>
      </c>
      <c r="AX561" s="5">
        <v>3.1718206594528637</v>
      </c>
      <c r="AY561" t="s">
        <v>59</v>
      </c>
      <c r="AZ561" t="s">
        <v>60</v>
      </c>
      <c r="BA561" s="23">
        <f t="shared" si="8"/>
        <v>0</v>
      </c>
      <c r="BB561" s="23">
        <f>IF(AND(ISNUMBER(H561),Metadata!$H$5&gt;Metadata!$G$5),MAX(Metadata!$G$5-H561,0,H561-Metadata!$H$5)/(Metadata!$H$5-Metadata!$G$5),"Missing input")</f>
        <v>0</v>
      </c>
      <c r="BC561" s="23">
        <f>IF(AND(ISNUMBER(L561),Metadata!$H$8&gt;Metadata!$G$8),MAX(Metadata!$G$8-L561,0,L561-Metadata!$H$8)/(Metadata!$H$8-Metadata!$G$8),"Missing input")</f>
        <v>0</v>
      </c>
    </row>
    <row r="562" spans="1:55" x14ac:dyDescent="0.2">
      <c r="A562" t="s">
        <v>655</v>
      </c>
      <c r="B562" t="s">
        <v>656</v>
      </c>
      <c r="C562" t="s">
        <v>466</v>
      </c>
      <c r="D562" t="s">
        <v>55</v>
      </c>
      <c r="E562" t="s">
        <v>467</v>
      </c>
      <c r="F562">
        <v>1</v>
      </c>
      <c r="G562">
        <v>22.11413992487228</v>
      </c>
      <c r="H562">
        <v>28.832065765515338</v>
      </c>
      <c r="I562">
        <v>2.35</v>
      </c>
      <c r="J562">
        <v>2.6</v>
      </c>
      <c r="K562">
        <v>0.54</v>
      </c>
      <c r="L562">
        <v>0.25</v>
      </c>
      <c r="N562">
        <v>125</v>
      </c>
      <c r="O562">
        <v>12</v>
      </c>
      <c r="P562">
        <v>12</v>
      </c>
      <c r="Q562">
        <v>0.53616514621265798</v>
      </c>
      <c r="R562">
        <v>1866510.334985178</v>
      </c>
      <c r="S562">
        <v>-6.5563324869060144E-3</v>
      </c>
      <c r="T562">
        <v>1273.142330588983</v>
      </c>
      <c r="U562">
        <v>672.06023102885479</v>
      </c>
      <c r="V562">
        <v>281.66865720995207</v>
      </c>
      <c r="W562">
        <v>2.3859957926660971</v>
      </c>
      <c r="X562" t="s">
        <v>57</v>
      </c>
      <c r="Y562">
        <v>8</v>
      </c>
      <c r="Z562">
        <v>708.43799999999999</v>
      </c>
      <c r="AA562">
        <v>95.163399999999996</v>
      </c>
      <c r="AB562">
        <v>44.910200000000003</v>
      </c>
      <c r="AC562">
        <v>19.301643018259931</v>
      </c>
      <c r="AD562">
        <v>60.78015573628489</v>
      </c>
      <c r="AE562">
        <v>60.78015573628489</v>
      </c>
      <c r="AF562" t="s">
        <v>58</v>
      </c>
      <c r="AG562" t="b">
        <v>1</v>
      </c>
      <c r="AH562">
        <v>3.14896279445149</v>
      </c>
      <c r="AI562">
        <v>703.14099999999996</v>
      </c>
      <c r="AJ562">
        <v>91.310100000000006</v>
      </c>
      <c r="AK562">
        <v>45.574300000000001</v>
      </c>
      <c r="AL562">
        <v>18.954238354700848</v>
      </c>
      <c r="AM562">
        <v>59.717764424916012</v>
      </c>
      <c r="AN562">
        <v>59.717764424916012</v>
      </c>
      <c r="AO562" t="s">
        <v>58</v>
      </c>
      <c r="AP562" t="b">
        <v>1</v>
      </c>
      <c r="AQ562">
        <v>3.1506285458368399</v>
      </c>
      <c r="AR562">
        <v>708.43799999999999</v>
      </c>
      <c r="AS562">
        <v>60.78015573628489</v>
      </c>
      <c r="AT562">
        <v>3.1506285458368399</v>
      </c>
      <c r="AU562" s="5">
        <v>45.402776335004809</v>
      </c>
      <c r="AV562" s="5">
        <v>64.852426170615971</v>
      </c>
      <c r="AW562" s="5">
        <v>2.3535195237401196</v>
      </c>
      <c r="AX562" s="5">
        <v>3.3617206584079082</v>
      </c>
      <c r="AY562" t="s">
        <v>59</v>
      </c>
      <c r="AZ562" t="s">
        <v>60</v>
      </c>
      <c r="BA562" s="23">
        <f t="shared" si="8"/>
        <v>0</v>
      </c>
      <c r="BB562" s="23">
        <f>IF(AND(ISNUMBER(H562),Metadata!$H$5&gt;Metadata!$G$5),MAX(Metadata!$G$5-H562,0,H562-Metadata!$H$5)/(Metadata!$H$5-Metadata!$G$5),"Missing input")</f>
        <v>0</v>
      </c>
      <c r="BC562" s="23">
        <f>IF(AND(ISNUMBER(L562),Metadata!$H$8&gt;Metadata!$G$8),MAX(Metadata!$G$8-L562,0,L562-Metadata!$H$8)/(Metadata!$H$8-Metadata!$G$8),"Missing input")</f>
        <v>0</v>
      </c>
    </row>
    <row r="563" spans="1:55" x14ac:dyDescent="0.2">
      <c r="A563" t="s">
        <v>657</v>
      </c>
      <c r="B563" t="s">
        <v>656</v>
      </c>
      <c r="C563" t="s">
        <v>466</v>
      </c>
      <c r="D563" t="s">
        <v>55</v>
      </c>
      <c r="E563" t="s">
        <v>467</v>
      </c>
      <c r="F563">
        <v>2</v>
      </c>
      <c r="G563">
        <v>39.289372610104301</v>
      </c>
      <c r="H563">
        <v>11.43599740060767</v>
      </c>
      <c r="I563">
        <v>2.35</v>
      </c>
      <c r="J563">
        <v>2.6</v>
      </c>
      <c r="K563">
        <v>0.54</v>
      </c>
      <c r="L563">
        <v>0.25</v>
      </c>
      <c r="N563">
        <v>125</v>
      </c>
      <c r="O563">
        <v>12</v>
      </c>
      <c r="P563">
        <v>12</v>
      </c>
      <c r="Q563">
        <v>0.53616514621265798</v>
      </c>
      <c r="R563">
        <v>1301660.814121977</v>
      </c>
      <c r="S563">
        <v>-3.8293842235915931E-3</v>
      </c>
      <c r="T563">
        <v>1028.478511964993</v>
      </c>
      <c r="U563">
        <v>750.05745558684532</v>
      </c>
      <c r="V563">
        <v>227.53949379756469</v>
      </c>
      <c r="W563">
        <v>3.2963835994737232</v>
      </c>
      <c r="X563" t="s">
        <v>57</v>
      </c>
      <c r="Y563">
        <v>8</v>
      </c>
      <c r="Z563">
        <v>712.14800000000002</v>
      </c>
      <c r="AA563">
        <v>95.163399999999996</v>
      </c>
      <c r="AB563">
        <v>65.006200000000007</v>
      </c>
      <c r="AC563">
        <v>17.424626220839809</v>
      </c>
      <c r="AE563">
        <v>95.163399999999996</v>
      </c>
      <c r="AF563" t="s">
        <v>62</v>
      </c>
      <c r="AG563" t="b">
        <v>0</v>
      </c>
      <c r="AH563">
        <v>5.461431355479224</v>
      </c>
      <c r="AI563">
        <v>707.86400000000003</v>
      </c>
      <c r="AJ563">
        <v>91.310100000000006</v>
      </c>
      <c r="AK563">
        <v>64.811499999999995</v>
      </c>
      <c r="AL563">
        <v>16.950358006336831</v>
      </c>
      <c r="AN563">
        <v>91.310100000000006</v>
      </c>
      <c r="AO563" t="s">
        <v>62</v>
      </c>
      <c r="AP563" t="b">
        <v>0</v>
      </c>
      <c r="AQ563">
        <v>5.3869127699759529</v>
      </c>
      <c r="AR563">
        <v>712.14800000000002</v>
      </c>
      <c r="AS563">
        <v>95.163399999999996</v>
      </c>
      <c r="AT563">
        <v>5.461431355479224</v>
      </c>
      <c r="AU563" s="5">
        <v>71.087059799999992</v>
      </c>
      <c r="AV563" s="5">
        <v>101.53934779999999</v>
      </c>
      <c r="AW563" s="5">
        <v>4.0796892225429806</v>
      </c>
      <c r="AX563" s="5">
        <v>5.8273472562963313</v>
      </c>
      <c r="AY563" t="s">
        <v>59</v>
      </c>
      <c r="AZ563" t="s">
        <v>60</v>
      </c>
      <c r="BA563" s="23">
        <f t="shared" si="8"/>
        <v>0</v>
      </c>
      <c r="BB563" s="23">
        <f>IF(AND(ISNUMBER(H563),Metadata!$H$5&gt;Metadata!$G$5),MAX(Metadata!$G$5-H563,0,H563-Metadata!$H$5)/(Metadata!$H$5-Metadata!$G$5),"Missing input")</f>
        <v>0</v>
      </c>
      <c r="BC563" s="23">
        <f>IF(AND(ISNUMBER(L563),Metadata!$H$8&gt;Metadata!$G$8),MAX(Metadata!$G$8-L563,0,L563-Metadata!$H$8)/(Metadata!$H$8-Metadata!$G$8),"Missing input")</f>
        <v>0</v>
      </c>
    </row>
    <row r="564" spans="1:55" x14ac:dyDescent="0.2">
      <c r="A564" t="s">
        <v>658</v>
      </c>
      <c r="B564" t="s">
        <v>656</v>
      </c>
      <c r="C564" t="s">
        <v>466</v>
      </c>
      <c r="D564" t="s">
        <v>55</v>
      </c>
      <c r="E564" t="s">
        <v>467</v>
      </c>
      <c r="F564">
        <v>3</v>
      </c>
      <c r="G564">
        <v>50.720967279676117</v>
      </c>
      <c r="H564">
        <v>41.572102032205443</v>
      </c>
      <c r="I564">
        <v>2.35</v>
      </c>
      <c r="J564">
        <v>2.6</v>
      </c>
      <c r="K564">
        <v>0.54</v>
      </c>
      <c r="L564">
        <v>0.25</v>
      </c>
      <c r="N564">
        <v>125</v>
      </c>
      <c r="O564">
        <v>12</v>
      </c>
      <c r="P564">
        <v>12</v>
      </c>
      <c r="Q564">
        <v>0.53616514621265798</v>
      </c>
      <c r="R564">
        <v>6279453.0057685468</v>
      </c>
      <c r="S564">
        <v>-7.1956667523957601E-3</v>
      </c>
      <c r="T564">
        <v>3133.8435599692289</v>
      </c>
      <c r="U564">
        <v>792.59154081609961</v>
      </c>
      <c r="V564">
        <v>693.32822123213032</v>
      </c>
      <c r="W564">
        <v>1.143169305019152</v>
      </c>
      <c r="X564" t="s">
        <v>87</v>
      </c>
      <c r="Y564">
        <v>8</v>
      </c>
      <c r="Z564">
        <v>1200.8399999999999</v>
      </c>
      <c r="AA564">
        <v>95.163399999999996</v>
      </c>
      <c r="AB564">
        <v>36.549900000000001</v>
      </c>
      <c r="AC564">
        <v>17.302000548407509</v>
      </c>
      <c r="AD564">
        <v>38.928367480665933</v>
      </c>
      <c r="AE564">
        <v>38.928367480665933</v>
      </c>
      <c r="AF564" t="s">
        <v>58</v>
      </c>
      <c r="AG564" t="b">
        <v>1</v>
      </c>
      <c r="AH564">
        <v>2.2499344727074888</v>
      </c>
      <c r="AI564">
        <v>1188.68</v>
      </c>
      <c r="AJ564">
        <v>91.310100000000006</v>
      </c>
      <c r="AK564">
        <v>35.958300000000001</v>
      </c>
      <c r="AL564">
        <v>16.254178246033099</v>
      </c>
      <c r="AM564">
        <v>39.503983977864458</v>
      </c>
      <c r="AN564">
        <v>39.503983977864458</v>
      </c>
      <c r="AO564" t="s">
        <v>58</v>
      </c>
      <c r="AP564" t="b">
        <v>1</v>
      </c>
      <c r="AQ564">
        <v>2.43038949000732</v>
      </c>
      <c r="AR564">
        <v>1200.8399999999999</v>
      </c>
      <c r="AS564">
        <v>39.503983977864458</v>
      </c>
      <c r="AT564">
        <v>2.43038949000732</v>
      </c>
      <c r="AU564" s="5" t="s">
        <v>88</v>
      </c>
      <c r="AV564" s="5" t="s">
        <v>88</v>
      </c>
      <c r="AW564" s="5" t="s">
        <v>88</v>
      </c>
      <c r="AX564" s="5" t="s">
        <v>88</v>
      </c>
      <c r="AY564" t="s">
        <v>64</v>
      </c>
      <c r="AZ564" t="s">
        <v>7</v>
      </c>
      <c r="BA564" s="23">
        <f t="shared" si="8"/>
        <v>4.6063612035701466E-2</v>
      </c>
      <c r="BB564" s="23">
        <f>IF(AND(ISNUMBER(H564),Metadata!$H$5&gt;Metadata!$G$5),MAX(Metadata!$G$5-H564,0,H564-Metadata!$H$5)/(Metadata!$H$5-Metadata!$G$5),"Missing input")</f>
        <v>4.6063612035701466E-2</v>
      </c>
      <c r="BC564" s="23">
        <f>IF(AND(ISNUMBER(L564),Metadata!$H$8&gt;Metadata!$G$8),MAX(Metadata!$G$8-L564,0,L564-Metadata!$H$8)/(Metadata!$H$8-Metadata!$G$8),"Missing input")</f>
        <v>0</v>
      </c>
    </row>
    <row r="565" spans="1:55" x14ac:dyDescent="0.2">
      <c r="A565" t="s">
        <v>659</v>
      </c>
      <c r="B565" t="s">
        <v>656</v>
      </c>
      <c r="C565" t="s">
        <v>466</v>
      </c>
      <c r="D565" t="s">
        <v>55</v>
      </c>
      <c r="E565" t="s">
        <v>467</v>
      </c>
      <c r="F565">
        <v>4</v>
      </c>
      <c r="G565">
        <v>40.065365059576777</v>
      </c>
      <c r="H565">
        <v>25.23064360495534</v>
      </c>
      <c r="I565">
        <v>2.35</v>
      </c>
      <c r="J565">
        <v>2.6</v>
      </c>
      <c r="K565">
        <v>0.54</v>
      </c>
      <c r="L565">
        <v>0.25</v>
      </c>
      <c r="N565">
        <v>125</v>
      </c>
      <c r="O565">
        <v>12</v>
      </c>
      <c r="P565">
        <v>12</v>
      </c>
      <c r="Q565">
        <v>0.53616514621265798</v>
      </c>
      <c r="R565">
        <v>2986346.165161836</v>
      </c>
      <c r="S565">
        <v>-6.140021427800524E-3</v>
      </c>
      <c r="T565">
        <v>1667.6935379621079</v>
      </c>
      <c r="U565">
        <v>753.12627800274458</v>
      </c>
      <c r="V565">
        <v>368.9587473367497</v>
      </c>
      <c r="W565">
        <v>2.04122082330078</v>
      </c>
      <c r="X565" t="s">
        <v>57</v>
      </c>
      <c r="Y565">
        <v>8</v>
      </c>
      <c r="Z565">
        <v>935.51499999999999</v>
      </c>
      <c r="AA565">
        <v>95.163399999999996</v>
      </c>
      <c r="AB565">
        <v>50.613599999999998</v>
      </c>
      <c r="AC565">
        <v>18.346973843848129</v>
      </c>
      <c r="AD565">
        <v>65.013677083199497</v>
      </c>
      <c r="AE565">
        <v>65.013677083199497</v>
      </c>
      <c r="AF565" t="s">
        <v>58</v>
      </c>
      <c r="AG565" t="b">
        <v>1</v>
      </c>
      <c r="AH565">
        <v>3.5435640578404728</v>
      </c>
      <c r="AI565">
        <v>929.75900000000001</v>
      </c>
      <c r="AJ565">
        <v>91.310100000000006</v>
      </c>
      <c r="AK565">
        <v>50.383499999999998</v>
      </c>
      <c r="AL565">
        <v>18.00988073368325</v>
      </c>
      <c r="AM565">
        <v>64.583731457326877</v>
      </c>
      <c r="AN565">
        <v>64.583731457326877</v>
      </c>
      <c r="AO565" t="s">
        <v>58</v>
      </c>
      <c r="AP565" t="b">
        <v>1</v>
      </c>
      <c r="AQ565">
        <v>3.5860166101232518</v>
      </c>
      <c r="AR565">
        <v>935.51499999999999</v>
      </c>
      <c r="AS565">
        <v>65.013677083199497</v>
      </c>
      <c r="AT565">
        <v>3.5860166101232518</v>
      </c>
      <c r="AU565" s="5">
        <v>48.565216781150021</v>
      </c>
      <c r="AV565" s="5">
        <v>69.369593447773866</v>
      </c>
      <c r="AW565" s="5">
        <v>2.6787544077620691</v>
      </c>
      <c r="AX565" s="5">
        <v>3.8262797230015093</v>
      </c>
      <c r="AY565" t="s">
        <v>59</v>
      </c>
      <c r="AZ565" t="s">
        <v>60</v>
      </c>
      <c r="BA565" s="23">
        <f t="shared" si="8"/>
        <v>0</v>
      </c>
      <c r="BB565" s="23">
        <f>IF(AND(ISNUMBER(H565),Metadata!$H$5&gt;Metadata!$G$5),MAX(Metadata!$G$5-H565,0,H565-Metadata!$H$5)/(Metadata!$H$5-Metadata!$G$5),"Missing input")</f>
        <v>0</v>
      </c>
      <c r="BC565" s="23">
        <f>IF(AND(ISNUMBER(L565),Metadata!$H$8&gt;Metadata!$G$8),MAX(Metadata!$G$8-L565,0,L565-Metadata!$H$8)/(Metadata!$H$8-Metadata!$G$8),"Missing input")</f>
        <v>0</v>
      </c>
    </row>
    <row r="566" spans="1:55" x14ac:dyDescent="0.2">
      <c r="A566" t="s">
        <v>660</v>
      </c>
      <c r="B566" t="s">
        <v>656</v>
      </c>
      <c r="C566" t="s">
        <v>466</v>
      </c>
      <c r="D566" t="s">
        <v>55</v>
      </c>
      <c r="E566" t="s">
        <v>467</v>
      </c>
      <c r="F566">
        <v>5</v>
      </c>
      <c r="G566">
        <v>44.691650234033148</v>
      </c>
      <c r="H566">
        <v>35.278860063057749</v>
      </c>
      <c r="I566">
        <v>2.35</v>
      </c>
      <c r="J566">
        <v>2.6</v>
      </c>
      <c r="K566">
        <v>0.54</v>
      </c>
      <c r="L566">
        <v>0.25</v>
      </c>
      <c r="N566">
        <v>125</v>
      </c>
      <c r="O566">
        <v>12</v>
      </c>
      <c r="P566">
        <v>12</v>
      </c>
      <c r="Q566">
        <v>0.53616514621265798</v>
      </c>
      <c r="R566">
        <v>4683732.748780732</v>
      </c>
      <c r="S566">
        <v>-7.033200663042939E-3</v>
      </c>
      <c r="T566">
        <v>2403.1084156286802</v>
      </c>
      <c r="U566">
        <v>770.83560231362162</v>
      </c>
      <c r="V566">
        <v>531.66115390015045</v>
      </c>
      <c r="W566">
        <v>1.449862561255302</v>
      </c>
      <c r="X566" t="s">
        <v>57</v>
      </c>
      <c r="Y566">
        <v>8</v>
      </c>
      <c r="Z566">
        <v>1075.56</v>
      </c>
      <c r="AA566">
        <v>95.163399999999996</v>
      </c>
      <c r="AB566">
        <v>37.809100000000001</v>
      </c>
      <c r="AC566">
        <v>17.606493362831859</v>
      </c>
      <c r="AD566">
        <v>45.643782816466178</v>
      </c>
      <c r="AE566">
        <v>45.643782816466178</v>
      </c>
      <c r="AF566" t="s">
        <v>58</v>
      </c>
      <c r="AG566" t="b">
        <v>1</v>
      </c>
      <c r="AH566">
        <v>2.5924402932399011</v>
      </c>
      <c r="AI566">
        <v>1076.44</v>
      </c>
      <c r="AJ566">
        <v>91.310100000000006</v>
      </c>
      <c r="AK566">
        <v>39.358900000000013</v>
      </c>
      <c r="AL566">
        <v>17.29819054108216</v>
      </c>
      <c r="AM566">
        <v>45.52451612645639</v>
      </c>
      <c r="AN566">
        <v>45.52451612645639</v>
      </c>
      <c r="AO566" t="s">
        <v>58</v>
      </c>
      <c r="AP566" t="b">
        <v>1</v>
      </c>
      <c r="AQ566">
        <v>2.631750183254046</v>
      </c>
      <c r="AR566">
        <v>1076.44</v>
      </c>
      <c r="AS566">
        <v>45.643782816466178</v>
      </c>
      <c r="AT566">
        <v>2.631750183254046</v>
      </c>
      <c r="AU566" s="5">
        <v>34.095905763900234</v>
      </c>
      <c r="AV566" s="5">
        <v>48.701916265169409</v>
      </c>
      <c r="AW566" s="5">
        <v>1.9659173868907724</v>
      </c>
      <c r="AX566" s="5">
        <v>2.8080774455320667</v>
      </c>
      <c r="AY566" t="s">
        <v>59</v>
      </c>
      <c r="AZ566" t="s">
        <v>60</v>
      </c>
      <c r="BA566" s="23">
        <f t="shared" si="8"/>
        <v>0</v>
      </c>
      <c r="BB566" s="23">
        <f>IF(AND(ISNUMBER(H566),Metadata!$H$5&gt;Metadata!$G$5),MAX(Metadata!$G$5-H566,0,H566-Metadata!$H$5)/(Metadata!$H$5-Metadata!$G$5),"Missing input")</f>
        <v>0</v>
      </c>
      <c r="BC566" s="23">
        <f>IF(AND(ISNUMBER(L566),Metadata!$H$8&gt;Metadata!$G$8),MAX(Metadata!$G$8-L566,0,L566-Metadata!$H$8)/(Metadata!$H$8-Metadata!$G$8),"Missing input")</f>
        <v>0</v>
      </c>
    </row>
    <row r="567" spans="1:55" x14ac:dyDescent="0.2">
      <c r="A567" t="s">
        <v>661</v>
      </c>
      <c r="B567" t="s">
        <v>656</v>
      </c>
      <c r="C567" t="s">
        <v>466</v>
      </c>
      <c r="D567" t="s">
        <v>55</v>
      </c>
      <c r="E567" t="s">
        <v>467</v>
      </c>
      <c r="F567">
        <v>6</v>
      </c>
      <c r="G567">
        <v>33.086500490231572</v>
      </c>
      <c r="H567">
        <v>19.79580616436397</v>
      </c>
      <c r="I567">
        <v>2.35</v>
      </c>
      <c r="J567">
        <v>2.6</v>
      </c>
      <c r="K567">
        <v>0.54</v>
      </c>
      <c r="L567">
        <v>0.25</v>
      </c>
      <c r="N567">
        <v>125</v>
      </c>
      <c r="O567">
        <v>12</v>
      </c>
      <c r="P567">
        <v>12</v>
      </c>
      <c r="Q567">
        <v>0.53616514621265798</v>
      </c>
      <c r="R567">
        <v>1918643.176085273</v>
      </c>
      <c r="S567">
        <v>-5.3262861907631799E-3</v>
      </c>
      <c r="T567">
        <v>1259.775931026177</v>
      </c>
      <c r="U567">
        <v>724.34809556380162</v>
      </c>
      <c r="V567">
        <v>278.71148916508332</v>
      </c>
      <c r="W567">
        <v>2.5989172449750129</v>
      </c>
      <c r="X567" t="s">
        <v>57</v>
      </c>
      <c r="Y567">
        <v>8</v>
      </c>
      <c r="Z567">
        <v>776.51700000000005</v>
      </c>
      <c r="AA567">
        <v>95.050300000000007</v>
      </c>
      <c r="AB567">
        <v>61.006799999999998</v>
      </c>
      <c r="AC567">
        <v>18.157634564602329</v>
      </c>
      <c r="AE567">
        <v>95.050300000000007</v>
      </c>
      <c r="AF567" t="s">
        <v>62</v>
      </c>
      <c r="AG567" t="b">
        <v>0</v>
      </c>
      <c r="AH567">
        <v>5.2347292078064616</v>
      </c>
      <c r="AI567">
        <v>769.44200000000001</v>
      </c>
      <c r="AJ567">
        <v>90.817700000000002</v>
      </c>
      <c r="AK567">
        <v>39.358900000000013</v>
      </c>
      <c r="AL567">
        <v>17.700832409249131</v>
      </c>
      <c r="AM567">
        <v>39.361919928934853</v>
      </c>
      <c r="AN567">
        <v>39.361919928934853</v>
      </c>
      <c r="AO567" t="s">
        <v>58</v>
      </c>
      <c r="AP567" t="b">
        <v>1</v>
      </c>
      <c r="AQ567">
        <v>2.2237327047041728</v>
      </c>
      <c r="AR567">
        <v>776.51700000000005</v>
      </c>
      <c r="AS567">
        <v>95.050300000000007</v>
      </c>
      <c r="AT567">
        <v>5.2347292078064616</v>
      </c>
      <c r="AU567" s="5">
        <v>71.002574100000004</v>
      </c>
      <c r="AV567" s="5">
        <v>101.4186701</v>
      </c>
      <c r="AW567" s="5">
        <v>3.9103427182314268</v>
      </c>
      <c r="AX567" s="5">
        <v>5.5854560647294944</v>
      </c>
      <c r="AY567" t="s">
        <v>59</v>
      </c>
      <c r="AZ567" t="s">
        <v>60</v>
      </c>
      <c r="BA567" s="23">
        <f t="shared" si="8"/>
        <v>0</v>
      </c>
      <c r="BB567" s="23">
        <f>IF(AND(ISNUMBER(H567),Metadata!$H$5&gt;Metadata!$G$5),MAX(Metadata!$G$5-H567,0,H567-Metadata!$H$5)/(Metadata!$H$5-Metadata!$G$5),"Missing input")</f>
        <v>0</v>
      </c>
      <c r="BC567" s="23">
        <f>IF(AND(ISNUMBER(L567),Metadata!$H$8&gt;Metadata!$G$8),MAX(Metadata!$G$8-L567,0,L567-Metadata!$H$8)/(Metadata!$H$8-Metadata!$G$8),"Missing input")</f>
        <v>0</v>
      </c>
    </row>
    <row r="568" spans="1:55" x14ac:dyDescent="0.2">
      <c r="A568" t="s">
        <v>662</v>
      </c>
      <c r="B568" t="s">
        <v>656</v>
      </c>
      <c r="C568" t="s">
        <v>466</v>
      </c>
      <c r="D568" t="s">
        <v>55</v>
      </c>
      <c r="E568" t="s">
        <v>467</v>
      </c>
      <c r="F568">
        <v>7</v>
      </c>
      <c r="G568">
        <v>42.943727860216583</v>
      </c>
      <c r="H568">
        <v>31.604415760045629</v>
      </c>
      <c r="I568">
        <v>2.35</v>
      </c>
      <c r="J568">
        <v>2.6</v>
      </c>
      <c r="K568">
        <v>0.54</v>
      </c>
      <c r="L568">
        <v>0.25</v>
      </c>
      <c r="N568">
        <v>125</v>
      </c>
      <c r="O568">
        <v>12</v>
      </c>
      <c r="P568">
        <v>12</v>
      </c>
      <c r="Q568">
        <v>0.53616514621265798</v>
      </c>
      <c r="R568">
        <v>4025355.613741619</v>
      </c>
      <c r="S568">
        <v>-6.8030648308866001E-3</v>
      </c>
      <c r="T568">
        <v>2109.6023475413008</v>
      </c>
      <c r="U568">
        <v>764.25751687900618</v>
      </c>
      <c r="V568">
        <v>466.72618308435858</v>
      </c>
      <c r="W568">
        <v>1.63748584197358</v>
      </c>
      <c r="X568" t="s">
        <v>57</v>
      </c>
      <c r="Y568">
        <v>8</v>
      </c>
      <c r="Z568">
        <v>1031.17</v>
      </c>
      <c r="AA568">
        <v>95.163399999999996</v>
      </c>
      <c r="AB568">
        <v>43.7149</v>
      </c>
      <c r="AC568">
        <v>18.026587752691</v>
      </c>
      <c r="AD568">
        <v>51.238217294822107</v>
      </c>
      <c r="AE568">
        <v>51.238217294822107</v>
      </c>
      <c r="AF568" t="s">
        <v>58</v>
      </c>
      <c r="AG568" t="b">
        <v>1</v>
      </c>
      <c r="AH568">
        <v>2.8423691714574941</v>
      </c>
      <c r="AI568">
        <v>1022.53</v>
      </c>
      <c r="AJ568">
        <v>91.310100000000006</v>
      </c>
      <c r="AK568">
        <v>42.8262</v>
      </c>
      <c r="AL568">
        <v>17.509167692470388</v>
      </c>
      <c r="AM568">
        <v>51.239981351981349</v>
      </c>
      <c r="AN568">
        <v>51.239981351981349</v>
      </c>
      <c r="AO568" t="s">
        <v>58</v>
      </c>
      <c r="AP568" t="b">
        <v>1</v>
      </c>
      <c r="AQ568">
        <v>2.926465852172774</v>
      </c>
      <c r="AR568">
        <v>1031.17</v>
      </c>
      <c r="AS568">
        <v>51.239981351981349</v>
      </c>
      <c r="AT568">
        <v>2.926465852172774</v>
      </c>
      <c r="AU568" s="5">
        <v>38.276266069930067</v>
      </c>
      <c r="AV568" s="5">
        <v>54.673060102564094</v>
      </c>
      <c r="AW568" s="5">
        <v>2.1860699915730621</v>
      </c>
      <c r="AX568" s="5">
        <v>3.1225390642683495</v>
      </c>
      <c r="AY568" t="s">
        <v>59</v>
      </c>
      <c r="AZ568" t="s">
        <v>60</v>
      </c>
      <c r="BA568" s="23">
        <f t="shared" si="8"/>
        <v>0</v>
      </c>
      <c r="BB568" s="23">
        <f>IF(AND(ISNUMBER(H568),Metadata!$H$5&gt;Metadata!$G$5),MAX(Metadata!$G$5-H568,0,H568-Metadata!$H$5)/(Metadata!$H$5-Metadata!$G$5),"Missing input")</f>
        <v>0</v>
      </c>
      <c r="BC568" s="23">
        <f>IF(AND(ISNUMBER(L568),Metadata!$H$8&gt;Metadata!$G$8),MAX(Metadata!$G$8-L568,0,L568-Metadata!$H$8)/(Metadata!$H$8-Metadata!$G$8),"Missing input")</f>
        <v>0</v>
      </c>
    </row>
    <row r="569" spans="1:55" x14ac:dyDescent="0.2">
      <c r="A569" t="s">
        <v>663</v>
      </c>
      <c r="B569" t="s">
        <v>656</v>
      </c>
      <c r="C569" t="s">
        <v>466</v>
      </c>
      <c r="D569" t="s">
        <v>55</v>
      </c>
      <c r="E569" t="s">
        <v>467</v>
      </c>
      <c r="F569">
        <v>8</v>
      </c>
      <c r="G569">
        <v>29.155454969686971</v>
      </c>
      <c r="H569">
        <v>7.3398505058277053</v>
      </c>
      <c r="I569">
        <v>2.35</v>
      </c>
      <c r="J569">
        <v>2.6</v>
      </c>
      <c r="K569">
        <v>0.54</v>
      </c>
      <c r="L569">
        <v>0.25</v>
      </c>
      <c r="N569">
        <v>125</v>
      </c>
      <c r="O569">
        <v>12</v>
      </c>
      <c r="P569">
        <v>12</v>
      </c>
      <c r="Q569">
        <v>0.53616514621265798</v>
      </c>
      <c r="R569">
        <v>595711.36772068124</v>
      </c>
      <c r="S569">
        <v>-3.1084791147786058E-3</v>
      </c>
      <c r="T569">
        <v>821.68683557604948</v>
      </c>
      <c r="U569">
        <v>706.7858992589853</v>
      </c>
      <c r="V569">
        <v>181.7891229150552</v>
      </c>
      <c r="W569">
        <v>3.88794383253197</v>
      </c>
      <c r="X569" t="s">
        <v>57</v>
      </c>
      <c r="Y569">
        <v>8</v>
      </c>
      <c r="Z569">
        <v>573.673</v>
      </c>
      <c r="AA569">
        <v>95.163399999999996</v>
      </c>
      <c r="AB569">
        <v>51.296399999999998</v>
      </c>
      <c r="AC569">
        <v>17.998652173536549</v>
      </c>
      <c r="AE569">
        <v>95.163399999999996</v>
      </c>
      <c r="AF569" t="s">
        <v>62</v>
      </c>
      <c r="AG569" t="b">
        <v>0</v>
      </c>
      <c r="AH569">
        <v>5.2872514609687791</v>
      </c>
      <c r="AI569">
        <v>566.84400000000005</v>
      </c>
      <c r="AJ569">
        <v>91.310100000000006</v>
      </c>
      <c r="AK569">
        <v>64.811499999999995</v>
      </c>
      <c r="AL569">
        <v>17.333782510121459</v>
      </c>
      <c r="AN569">
        <v>91.310100000000006</v>
      </c>
      <c r="AO569" t="s">
        <v>62</v>
      </c>
      <c r="AP569" t="b">
        <v>0</v>
      </c>
      <c r="AQ569">
        <v>5.2677538758019304</v>
      </c>
      <c r="AR569">
        <v>573.673</v>
      </c>
      <c r="AS569">
        <v>95.163399999999996</v>
      </c>
      <c r="AT569">
        <v>5.2872514609687791</v>
      </c>
      <c r="AU569" s="5">
        <v>71.087059799999992</v>
      </c>
      <c r="AV569" s="5">
        <v>101.53934779999999</v>
      </c>
      <c r="AW569" s="5">
        <v>3.9495768413436778</v>
      </c>
      <c r="AX569" s="5">
        <v>5.6414973088536868</v>
      </c>
      <c r="AY569" t="s">
        <v>59</v>
      </c>
      <c r="AZ569" t="s">
        <v>60</v>
      </c>
      <c r="BA569" s="23">
        <f t="shared" si="8"/>
        <v>0</v>
      </c>
      <c r="BB569" s="23">
        <f>IF(AND(ISNUMBER(H569),Metadata!$H$5&gt;Metadata!$G$5),MAX(Metadata!$G$5-H569,0,H569-Metadata!$H$5)/(Metadata!$H$5-Metadata!$G$5),"Missing input")</f>
        <v>0</v>
      </c>
      <c r="BC569" s="23">
        <f>IF(AND(ISNUMBER(L569),Metadata!$H$8&gt;Metadata!$G$8),MAX(Metadata!$G$8-L569,0,L569-Metadata!$H$8)/(Metadata!$H$8-Metadata!$G$8),"Missing input")</f>
        <v>0</v>
      </c>
    </row>
    <row r="570" spans="1:55" x14ac:dyDescent="0.2">
      <c r="A570" t="s">
        <v>664</v>
      </c>
      <c r="B570" t="s">
        <v>656</v>
      </c>
      <c r="C570" t="s">
        <v>466</v>
      </c>
      <c r="D570" t="s">
        <v>55</v>
      </c>
      <c r="E570" t="s">
        <v>467</v>
      </c>
      <c r="F570">
        <v>9</v>
      </c>
      <c r="G570">
        <v>59.748609235827082</v>
      </c>
      <c r="H570">
        <v>37.783512331141722</v>
      </c>
      <c r="I570">
        <v>2.35</v>
      </c>
      <c r="J570">
        <v>2.6</v>
      </c>
      <c r="K570">
        <v>0.54</v>
      </c>
      <c r="L570">
        <v>0.25</v>
      </c>
      <c r="N570">
        <v>125</v>
      </c>
      <c r="O570">
        <v>12</v>
      </c>
      <c r="P570">
        <v>12</v>
      </c>
      <c r="Q570">
        <v>0.53616514621265798</v>
      </c>
      <c r="R570">
        <v>6726258.2664913209</v>
      </c>
      <c r="S570">
        <v>-7.1307491221123329E-3</v>
      </c>
      <c r="T570">
        <v>3298.080675750226</v>
      </c>
      <c r="U570">
        <v>822.87545002106197</v>
      </c>
      <c r="V570">
        <v>729.6638663164216</v>
      </c>
      <c r="W570">
        <v>1.1277459224823649</v>
      </c>
      <c r="X570" t="s">
        <v>87</v>
      </c>
      <c r="Y570">
        <v>8</v>
      </c>
      <c r="Z570">
        <v>1327.39</v>
      </c>
      <c r="AA570">
        <v>95.163399999999996</v>
      </c>
      <c r="AB570">
        <v>37.809100000000001</v>
      </c>
      <c r="AC570">
        <v>17.591077132164671</v>
      </c>
      <c r="AD570">
        <v>42.431050822131027</v>
      </c>
      <c r="AE570">
        <v>42.431050822131027</v>
      </c>
      <c r="AF570" t="s">
        <v>58</v>
      </c>
      <c r="AG570" t="b">
        <v>1</v>
      </c>
      <c r="AH570">
        <v>2.4120780383906868</v>
      </c>
      <c r="AI570">
        <v>1324.8</v>
      </c>
      <c r="AJ570">
        <v>91.310100000000006</v>
      </c>
      <c r="AK570">
        <v>38.574199999999998</v>
      </c>
      <c r="AL570">
        <v>16.961511933559098</v>
      </c>
      <c r="AM570">
        <v>41.324167859203698</v>
      </c>
      <c r="AN570">
        <v>41.324167859203698</v>
      </c>
      <c r="AO570" t="s">
        <v>58</v>
      </c>
      <c r="AP570" t="b">
        <v>1</v>
      </c>
      <c r="AQ570">
        <v>2.4363493078374701</v>
      </c>
      <c r="AR570">
        <v>1327.39</v>
      </c>
      <c r="AS570">
        <v>42.431050822131027</v>
      </c>
      <c r="AT570">
        <v>2.4363493078374701</v>
      </c>
      <c r="AU570" s="5" t="s">
        <v>88</v>
      </c>
      <c r="AV570" s="5" t="s">
        <v>88</v>
      </c>
      <c r="AW570" s="5" t="s">
        <v>88</v>
      </c>
      <c r="AX570" s="5" t="s">
        <v>88</v>
      </c>
      <c r="AY570" t="s">
        <v>59</v>
      </c>
      <c r="AZ570" t="s">
        <v>60</v>
      </c>
      <c r="BA570" s="23">
        <f t="shared" si="8"/>
        <v>0</v>
      </c>
      <c r="BB570" s="23">
        <f>IF(AND(ISNUMBER(H570),Metadata!$H$5&gt;Metadata!$G$5),MAX(Metadata!$G$5-H570,0,H570-Metadata!$H$5)/(Metadata!$H$5-Metadata!$G$5),"Missing input")</f>
        <v>0</v>
      </c>
      <c r="BC570" s="23">
        <f>IF(AND(ISNUMBER(L570),Metadata!$H$8&gt;Metadata!$G$8),MAX(Metadata!$G$8-L570,0,L570-Metadata!$H$8)/(Metadata!$H$8-Metadata!$G$8),"Missing input")</f>
        <v>0</v>
      </c>
    </row>
    <row r="571" spans="1:55" x14ac:dyDescent="0.2">
      <c r="A571" t="s">
        <v>665</v>
      </c>
      <c r="B571" t="s">
        <v>656</v>
      </c>
      <c r="C571" t="s">
        <v>466</v>
      </c>
      <c r="D571" t="s">
        <v>55</v>
      </c>
      <c r="E571" t="s">
        <v>467</v>
      </c>
      <c r="F571">
        <v>10</v>
      </c>
      <c r="G571">
        <v>34.746337553007109</v>
      </c>
      <c r="H571">
        <v>23.7414613202046</v>
      </c>
      <c r="I571">
        <v>2.35</v>
      </c>
      <c r="J571">
        <v>2.6</v>
      </c>
      <c r="K571">
        <v>0.54</v>
      </c>
      <c r="L571">
        <v>0.25</v>
      </c>
      <c r="N571">
        <v>125</v>
      </c>
      <c r="O571">
        <v>12</v>
      </c>
      <c r="P571">
        <v>12</v>
      </c>
      <c r="Q571">
        <v>0.53616514621265798</v>
      </c>
      <c r="R571">
        <v>2428507.8121004719</v>
      </c>
      <c r="S571">
        <v>-5.9374858368821193E-3</v>
      </c>
      <c r="T571">
        <v>1455.5554086932059</v>
      </c>
      <c r="U571">
        <v>731.44834288856589</v>
      </c>
      <c r="V571">
        <v>322.02553289672699</v>
      </c>
      <c r="W571">
        <v>2.271398594729257</v>
      </c>
      <c r="X571" t="s">
        <v>57</v>
      </c>
      <c r="Y571">
        <v>8</v>
      </c>
      <c r="Z571">
        <v>843.48900000000003</v>
      </c>
      <c r="AA571">
        <v>95.091899999999995</v>
      </c>
      <c r="AB571">
        <v>44.910200000000003</v>
      </c>
      <c r="AC571">
        <v>18.322384728128799</v>
      </c>
      <c r="AD571">
        <v>61.093541127895207</v>
      </c>
      <c r="AE571">
        <v>61.093541127895207</v>
      </c>
      <c r="AF571" t="s">
        <v>58</v>
      </c>
      <c r="AG571" t="b">
        <v>1</v>
      </c>
      <c r="AH571">
        <v>3.334366242954363</v>
      </c>
      <c r="AI571">
        <v>840.73</v>
      </c>
      <c r="AJ571">
        <v>91.381599999999992</v>
      </c>
      <c r="AK571">
        <v>51.834899999999998</v>
      </c>
      <c r="AL571">
        <v>18.096563899660691</v>
      </c>
      <c r="AM571">
        <v>64.952563906193305</v>
      </c>
      <c r="AN571">
        <v>64.952563906193305</v>
      </c>
      <c r="AO571" t="s">
        <v>58</v>
      </c>
      <c r="AP571" t="b">
        <v>1</v>
      </c>
      <c r="AQ571">
        <v>3.5892208192855422</v>
      </c>
      <c r="AR571">
        <v>843.48900000000003</v>
      </c>
      <c r="AS571">
        <v>64.952563906193305</v>
      </c>
      <c r="AT571">
        <v>3.5892208192855422</v>
      </c>
      <c r="AU571" s="5">
        <v>48.5195652379264</v>
      </c>
      <c r="AV571" s="5">
        <v>69.304385687908251</v>
      </c>
      <c r="AW571" s="5">
        <v>2.6811479520063002</v>
      </c>
      <c r="AX571" s="5">
        <v>3.8296986141776732</v>
      </c>
      <c r="AY571" t="s">
        <v>59</v>
      </c>
      <c r="AZ571" t="s">
        <v>60</v>
      </c>
      <c r="BA571" s="23">
        <f t="shared" si="8"/>
        <v>0</v>
      </c>
      <c r="BB571" s="23">
        <f>IF(AND(ISNUMBER(H571),Metadata!$H$5&gt;Metadata!$G$5),MAX(Metadata!$G$5-H571,0,H571-Metadata!$H$5)/(Metadata!$H$5-Metadata!$G$5),"Missing input")</f>
        <v>0</v>
      </c>
      <c r="BC571" s="23">
        <f>IF(AND(ISNUMBER(L571),Metadata!$H$8&gt;Metadata!$G$8),MAX(Metadata!$G$8-L571,0,L571-Metadata!$H$8)/(Metadata!$H$8-Metadata!$G$8),"Missing input")</f>
        <v>0</v>
      </c>
    </row>
    <row r="572" spans="1:55" x14ac:dyDescent="0.2">
      <c r="A572" t="s">
        <v>666</v>
      </c>
      <c r="B572" t="s">
        <v>656</v>
      </c>
      <c r="C572" t="s">
        <v>466</v>
      </c>
      <c r="D572" t="s">
        <v>55</v>
      </c>
      <c r="E572" t="s">
        <v>467</v>
      </c>
      <c r="F572">
        <v>11</v>
      </c>
      <c r="G572">
        <v>24.502161634428251</v>
      </c>
      <c r="H572">
        <v>33.048591474592847</v>
      </c>
      <c r="I572">
        <v>2.35</v>
      </c>
      <c r="J572">
        <v>2.6</v>
      </c>
      <c r="K572">
        <v>0.54</v>
      </c>
      <c r="L572">
        <v>0.25</v>
      </c>
      <c r="N572">
        <v>125</v>
      </c>
      <c r="O572">
        <v>12</v>
      </c>
      <c r="P572">
        <v>12</v>
      </c>
      <c r="Q572">
        <v>0.53616514621265798</v>
      </c>
      <c r="R572">
        <v>2383007.1153019848</v>
      </c>
      <c r="S572">
        <v>-6.9063699317862097E-3</v>
      </c>
      <c r="T572">
        <v>1476.134753236586</v>
      </c>
      <c r="U572">
        <v>684.38581388777777</v>
      </c>
      <c r="V572">
        <v>326.57848522933313</v>
      </c>
      <c r="W572">
        <v>2.09562431342402</v>
      </c>
      <c r="X572" t="s">
        <v>57</v>
      </c>
      <c r="Y572">
        <v>8</v>
      </c>
      <c r="Z572">
        <v>758.05700000000002</v>
      </c>
      <c r="AA572">
        <v>95.163399999999996</v>
      </c>
      <c r="AB572">
        <v>42.818399999999997</v>
      </c>
      <c r="AC572">
        <v>18.713741504691701</v>
      </c>
      <c r="AD572">
        <v>51.538506230594081</v>
      </c>
      <c r="AE572">
        <v>51.538506230594081</v>
      </c>
      <c r="AF572" t="s">
        <v>58</v>
      </c>
      <c r="AG572" t="b">
        <v>1</v>
      </c>
      <c r="AH572">
        <v>2.7540460691771842</v>
      </c>
      <c r="AI572">
        <v>755.303</v>
      </c>
      <c r="AJ572">
        <v>91.310100000000006</v>
      </c>
      <c r="AK572">
        <v>39.358900000000013</v>
      </c>
      <c r="AL572">
        <v>18.458108353625541</v>
      </c>
      <c r="AM572">
        <v>51.839244403750207</v>
      </c>
      <c r="AN572">
        <v>51.839244403750207</v>
      </c>
      <c r="AO572" t="s">
        <v>58</v>
      </c>
      <c r="AP572" t="b">
        <v>1</v>
      </c>
      <c r="AQ572">
        <v>2.8084808806297832</v>
      </c>
      <c r="AR572">
        <v>758.05700000000002</v>
      </c>
      <c r="AS572">
        <v>51.839244403750207</v>
      </c>
      <c r="AT572">
        <v>2.8084808806297832</v>
      </c>
      <c r="AU572" s="5">
        <v>38.723915569601402</v>
      </c>
      <c r="AV572" s="5">
        <v>55.312473778801468</v>
      </c>
      <c r="AW572" s="5">
        <v>2.097935217830448</v>
      </c>
      <c r="AX572" s="5">
        <v>2.9966490996319783</v>
      </c>
      <c r="AY572" t="s">
        <v>59</v>
      </c>
      <c r="AZ572" t="s">
        <v>60</v>
      </c>
      <c r="BA572" s="23">
        <f t="shared" si="8"/>
        <v>0</v>
      </c>
      <c r="BB572" s="23">
        <f>IF(AND(ISNUMBER(H572),Metadata!$H$5&gt;Metadata!$G$5),MAX(Metadata!$G$5-H572,0,H572-Metadata!$H$5)/(Metadata!$H$5-Metadata!$G$5),"Missing input")</f>
        <v>0</v>
      </c>
      <c r="BC572" s="23">
        <f>IF(AND(ISNUMBER(L572),Metadata!$H$8&gt;Metadata!$G$8),MAX(Metadata!$G$8-L572,0,L572-Metadata!$H$8)/(Metadata!$H$8-Metadata!$G$8),"Missing input")</f>
        <v>0</v>
      </c>
    </row>
    <row r="573" spans="1:55" x14ac:dyDescent="0.2">
      <c r="A573" t="s">
        <v>667</v>
      </c>
      <c r="B573" t="s">
        <v>656</v>
      </c>
      <c r="C573" t="s">
        <v>466</v>
      </c>
      <c r="D573" t="s">
        <v>55</v>
      </c>
      <c r="E573" t="s">
        <v>467</v>
      </c>
      <c r="F573">
        <v>12</v>
      </c>
      <c r="G573">
        <v>56.241153781572699</v>
      </c>
      <c r="H573">
        <v>14.78764467513273</v>
      </c>
      <c r="I573">
        <v>2.35</v>
      </c>
      <c r="J573">
        <v>2.6</v>
      </c>
      <c r="K573">
        <v>0.54</v>
      </c>
      <c r="L573">
        <v>0.25</v>
      </c>
      <c r="N573">
        <v>125</v>
      </c>
      <c r="O573">
        <v>12</v>
      </c>
      <c r="P573">
        <v>12</v>
      </c>
      <c r="Q573">
        <v>0.53616514621265798</v>
      </c>
      <c r="R573">
        <v>2448743.9197241841</v>
      </c>
      <c r="S573">
        <v>-4.4426870928569347E-3</v>
      </c>
      <c r="T573">
        <v>1409.273108594374</v>
      </c>
      <c r="U573">
        <v>811.40111588676484</v>
      </c>
      <c r="V573">
        <v>311.78608597220648</v>
      </c>
      <c r="W573">
        <v>2.602428884395743</v>
      </c>
      <c r="X573" t="s">
        <v>57</v>
      </c>
      <c r="Y573">
        <v>8</v>
      </c>
      <c r="Z573">
        <v>931.41099999999994</v>
      </c>
      <c r="AA573">
        <v>95.163399999999996</v>
      </c>
      <c r="AB573">
        <v>65.006200000000007</v>
      </c>
      <c r="AC573">
        <v>17.028933977063009</v>
      </c>
      <c r="AE573">
        <v>95.163399999999996</v>
      </c>
      <c r="AF573" t="s">
        <v>62</v>
      </c>
      <c r="AG573" t="b">
        <v>0</v>
      </c>
      <c r="AH573">
        <v>5.5883357189698204</v>
      </c>
      <c r="AI573">
        <v>926.81500000000005</v>
      </c>
      <c r="AJ573">
        <v>91.310100000000006</v>
      </c>
      <c r="AK573">
        <v>64.381599999999992</v>
      </c>
      <c r="AL573">
        <v>16.64368410864979</v>
      </c>
      <c r="AN573">
        <v>91.310100000000006</v>
      </c>
      <c r="AO573" t="s">
        <v>62</v>
      </c>
      <c r="AP573" t="b">
        <v>0</v>
      </c>
      <c r="AQ573">
        <v>5.4861711748389741</v>
      </c>
      <c r="AR573">
        <v>931.41099999999994</v>
      </c>
      <c r="AS573">
        <v>95.163399999999996</v>
      </c>
      <c r="AT573">
        <v>5.5883357189698204</v>
      </c>
      <c r="AU573" s="5">
        <v>71.087059799999992</v>
      </c>
      <c r="AV573" s="5">
        <v>101.53934779999999</v>
      </c>
      <c r="AW573" s="5">
        <v>4.1744867820704554</v>
      </c>
      <c r="AX573" s="5">
        <v>5.9627542121407977</v>
      </c>
      <c r="AY573" t="s">
        <v>59</v>
      </c>
      <c r="AZ573" t="s">
        <v>60</v>
      </c>
      <c r="BA573" s="23">
        <f t="shared" si="8"/>
        <v>0</v>
      </c>
      <c r="BB573" s="23">
        <f>IF(AND(ISNUMBER(H573),Metadata!$H$5&gt;Metadata!$G$5),MAX(Metadata!$G$5-H573,0,H573-Metadata!$H$5)/(Metadata!$H$5-Metadata!$G$5),"Missing input")</f>
        <v>0</v>
      </c>
      <c r="BC573" s="23">
        <f>IF(AND(ISNUMBER(L573),Metadata!$H$8&gt;Metadata!$G$8),MAX(Metadata!$G$8-L573,0,L573-Metadata!$H$8)/(Metadata!$H$8-Metadata!$G$8),"Missing input")</f>
        <v>0</v>
      </c>
    </row>
    <row r="574" spans="1:55" x14ac:dyDescent="0.2">
      <c r="A574" t="s">
        <v>668</v>
      </c>
      <c r="B574" t="s">
        <v>656</v>
      </c>
      <c r="C574" t="s">
        <v>466</v>
      </c>
      <c r="D574" t="s">
        <v>55</v>
      </c>
      <c r="E574" t="s">
        <v>467</v>
      </c>
      <c r="F574">
        <v>13</v>
      </c>
      <c r="G574">
        <v>49.119901382435643</v>
      </c>
      <c r="H574">
        <v>22.54933477691009</v>
      </c>
      <c r="I574">
        <v>2.35</v>
      </c>
      <c r="J574">
        <v>2.6</v>
      </c>
      <c r="K574">
        <v>0.54</v>
      </c>
      <c r="L574">
        <v>0.25</v>
      </c>
      <c r="N574">
        <v>125</v>
      </c>
      <c r="O574">
        <v>12</v>
      </c>
      <c r="P574">
        <v>12</v>
      </c>
      <c r="Q574">
        <v>0.53616514621265798</v>
      </c>
      <c r="R574">
        <v>3276584.6264440492</v>
      </c>
      <c r="S574">
        <v>-5.7635313551077406E-3</v>
      </c>
      <c r="T574">
        <v>1758.6202131618779</v>
      </c>
      <c r="U574">
        <v>786.94653369120795</v>
      </c>
      <c r="V574">
        <v>389.07526839864562</v>
      </c>
      <c r="W574">
        <v>2.022607442848062</v>
      </c>
      <c r="X574" t="s">
        <v>57</v>
      </c>
      <c r="Y574">
        <v>8</v>
      </c>
      <c r="Z574">
        <v>1008.1</v>
      </c>
      <c r="AA574">
        <v>95.091899999999995</v>
      </c>
      <c r="AB574">
        <v>44.910200000000003</v>
      </c>
      <c r="AC574">
        <v>17.695905238589219</v>
      </c>
      <c r="AD574">
        <v>44.966291121832839</v>
      </c>
      <c r="AE574">
        <v>44.966291121832839</v>
      </c>
      <c r="AF574" t="s">
        <v>58</v>
      </c>
      <c r="AG574" t="b">
        <v>1</v>
      </c>
      <c r="AH574">
        <v>2.541056279154088</v>
      </c>
      <c r="AI574">
        <v>996.16399999999999</v>
      </c>
      <c r="AJ574">
        <v>91.381599999999992</v>
      </c>
      <c r="AK574">
        <v>51.834899999999998</v>
      </c>
      <c r="AL574">
        <v>17.194341509828529</v>
      </c>
      <c r="AM574">
        <v>69.881617764696671</v>
      </c>
      <c r="AN574">
        <v>69.881617764696671</v>
      </c>
      <c r="AO574" t="s">
        <v>58</v>
      </c>
      <c r="AP574" t="b">
        <v>1</v>
      </c>
      <c r="AQ574">
        <v>4.064221809526777</v>
      </c>
      <c r="AR574">
        <v>1008.1</v>
      </c>
      <c r="AS574">
        <v>69.881617764696671</v>
      </c>
      <c r="AT574">
        <v>4.064221809526777</v>
      </c>
      <c r="AU574" s="5">
        <v>52.201568470228416</v>
      </c>
      <c r="AV574" s="5">
        <v>74.563686154931347</v>
      </c>
      <c r="AW574" s="5">
        <v>3.0359736917165026</v>
      </c>
      <c r="AX574" s="5">
        <v>4.3365246707650709</v>
      </c>
      <c r="AY574" t="s">
        <v>59</v>
      </c>
      <c r="AZ574" t="s">
        <v>60</v>
      </c>
      <c r="BA574" s="23">
        <f t="shared" si="8"/>
        <v>0</v>
      </c>
      <c r="BB574" s="23">
        <f>IF(AND(ISNUMBER(H574),Metadata!$H$5&gt;Metadata!$G$5),MAX(Metadata!$G$5-H574,0,H574-Metadata!$H$5)/(Metadata!$H$5-Metadata!$G$5),"Missing input")</f>
        <v>0</v>
      </c>
      <c r="BC574" s="23">
        <f>IF(AND(ISNUMBER(L574),Metadata!$H$8&gt;Metadata!$G$8),MAX(Metadata!$G$8-L574,0,L574-Metadata!$H$8)/(Metadata!$H$8-Metadata!$G$8),"Missing input")</f>
        <v>0</v>
      </c>
    </row>
    <row r="575" spans="1:55" x14ac:dyDescent="0.2">
      <c r="A575" t="s">
        <v>669</v>
      </c>
      <c r="B575" t="s">
        <v>656</v>
      </c>
      <c r="C575" t="s">
        <v>466</v>
      </c>
      <c r="D575" t="s">
        <v>55</v>
      </c>
      <c r="E575" t="s">
        <v>467</v>
      </c>
      <c r="F575">
        <v>14</v>
      </c>
      <c r="G575">
        <v>37.958866376576751</v>
      </c>
      <c r="H575">
        <v>9.8264864335603903</v>
      </c>
      <c r="I575">
        <v>2.35</v>
      </c>
      <c r="J575">
        <v>2.6</v>
      </c>
      <c r="K575">
        <v>0.54</v>
      </c>
      <c r="L575">
        <v>0.25</v>
      </c>
      <c r="N575">
        <v>125</v>
      </c>
      <c r="O575">
        <v>12</v>
      </c>
      <c r="P575">
        <v>12</v>
      </c>
      <c r="Q575">
        <v>0.53616514621265798</v>
      </c>
      <c r="R575">
        <v>1072728.181448289</v>
      </c>
      <c r="S575">
        <v>-3.5398038371437421E-3</v>
      </c>
      <c r="T575">
        <v>956.37302892862795</v>
      </c>
      <c r="U575">
        <v>744.72430032575369</v>
      </c>
      <c r="V575">
        <v>211.5869533027938</v>
      </c>
      <c r="W575">
        <v>3.5197080382362129</v>
      </c>
      <c r="X575" t="s">
        <v>57</v>
      </c>
      <c r="Y575">
        <v>8</v>
      </c>
      <c r="Z575">
        <v>670.79899999999998</v>
      </c>
      <c r="AA575">
        <v>95.00500000000001</v>
      </c>
      <c r="AB575">
        <v>65.006200000000007</v>
      </c>
      <c r="AC575">
        <v>17.37562456965253</v>
      </c>
      <c r="AD575">
        <v>65.081971247085107</v>
      </c>
      <c r="AE575">
        <v>65.081971247085107</v>
      </c>
      <c r="AF575" t="s">
        <v>58</v>
      </c>
      <c r="AG575" t="b">
        <v>1</v>
      </c>
      <c r="AH575">
        <v>3.7455903231676801</v>
      </c>
      <c r="AI575">
        <v>668.99699999999996</v>
      </c>
      <c r="AJ575">
        <v>79.965199999999996</v>
      </c>
      <c r="AK575">
        <v>70.255099999999999</v>
      </c>
      <c r="AL575">
        <v>16.965318090452261</v>
      </c>
      <c r="AN575">
        <v>79.965199999999996</v>
      </c>
      <c r="AO575" t="s">
        <v>62</v>
      </c>
      <c r="AP575" t="b">
        <v>0</v>
      </c>
      <c r="AQ575">
        <v>4.7134512641412121</v>
      </c>
      <c r="AR575">
        <v>670.79899999999998</v>
      </c>
      <c r="AS575">
        <v>79.965199999999996</v>
      </c>
      <c r="AT575">
        <v>4.7134512641412121</v>
      </c>
      <c r="AU575" s="5">
        <v>59.734004399999996</v>
      </c>
      <c r="AV575" s="5">
        <v>85.32286839999999</v>
      </c>
      <c r="AW575" s="5">
        <v>3.5209480943134852</v>
      </c>
      <c r="AX575" s="5">
        <v>5.0292524988386731</v>
      </c>
      <c r="AY575" t="s">
        <v>59</v>
      </c>
      <c r="AZ575" t="s">
        <v>60</v>
      </c>
      <c r="BA575" s="23">
        <f t="shared" si="8"/>
        <v>0</v>
      </c>
      <c r="BB575" s="23">
        <f>IF(AND(ISNUMBER(H575),Metadata!$H$5&gt;Metadata!$G$5),MAX(Metadata!$G$5-H575,0,H575-Metadata!$H$5)/(Metadata!$H$5-Metadata!$G$5),"Missing input")</f>
        <v>0</v>
      </c>
      <c r="BC575" s="23">
        <f>IF(AND(ISNUMBER(L575),Metadata!$H$8&gt;Metadata!$G$8),MAX(Metadata!$G$8-L575,0,L575-Metadata!$H$8)/(Metadata!$H$8-Metadata!$G$8),"Missing input")</f>
        <v>0</v>
      </c>
    </row>
    <row r="576" spans="1:55" x14ac:dyDescent="0.2">
      <c r="A576" t="s">
        <v>670</v>
      </c>
      <c r="B576" t="s">
        <v>656</v>
      </c>
      <c r="C576" t="s">
        <v>466</v>
      </c>
      <c r="D576" t="s">
        <v>55</v>
      </c>
      <c r="E576" t="s">
        <v>467</v>
      </c>
      <c r="F576">
        <v>15</v>
      </c>
      <c r="G576">
        <v>27.308053040943211</v>
      </c>
      <c r="H576">
        <v>5.2772178758296739</v>
      </c>
      <c r="I576">
        <v>2.35</v>
      </c>
      <c r="J576">
        <v>2.6</v>
      </c>
      <c r="K576">
        <v>0.54</v>
      </c>
      <c r="L576">
        <v>0.25</v>
      </c>
      <c r="N576">
        <v>125</v>
      </c>
      <c r="O576">
        <v>12</v>
      </c>
      <c r="P576">
        <v>12</v>
      </c>
      <c r="Q576">
        <v>0.53616514621265798</v>
      </c>
      <c r="R576">
        <v>386052.96198531118</v>
      </c>
      <c r="S576">
        <v>-2.771841166507194E-3</v>
      </c>
      <c r="T576">
        <v>766.94061989785382</v>
      </c>
      <c r="U576">
        <v>698.12364149884274</v>
      </c>
      <c r="V576">
        <v>169.6771282959854</v>
      </c>
      <c r="W576">
        <v>4.1144239563097358</v>
      </c>
      <c r="X576" t="s">
        <v>57</v>
      </c>
      <c r="Y576">
        <v>8</v>
      </c>
      <c r="Z576">
        <v>533.346</v>
      </c>
      <c r="AA576">
        <v>95.163399999999996</v>
      </c>
      <c r="AB576">
        <v>51.296399999999998</v>
      </c>
      <c r="AC576">
        <v>17.925023825155499</v>
      </c>
      <c r="AE576">
        <v>95.163399999999996</v>
      </c>
      <c r="AF576" t="s">
        <v>62</v>
      </c>
      <c r="AG576" t="b">
        <v>0</v>
      </c>
      <c r="AH576">
        <v>5.30896923363919</v>
      </c>
      <c r="AI576">
        <v>526.68799999999999</v>
      </c>
      <c r="AJ576">
        <v>91.310100000000006</v>
      </c>
      <c r="AK576">
        <v>39.358900000000013</v>
      </c>
      <c r="AL576">
        <v>17.188459194021881</v>
      </c>
      <c r="AN576">
        <v>91.310100000000006</v>
      </c>
      <c r="AO576" t="s">
        <v>62</v>
      </c>
      <c r="AP576" t="b">
        <v>0</v>
      </c>
      <c r="AQ576">
        <v>5.3122911698657376</v>
      </c>
      <c r="AR576">
        <v>533.346</v>
      </c>
      <c r="AS576">
        <v>95.163399999999996</v>
      </c>
      <c r="AT576">
        <v>5.3122911698657376</v>
      </c>
      <c r="AU576" s="5">
        <v>71.087059799999992</v>
      </c>
      <c r="AV576" s="5">
        <v>101.53934779999999</v>
      </c>
      <c r="AW576" s="5">
        <v>3.9682815038897061</v>
      </c>
      <c r="AX576" s="5">
        <v>5.6682146782467413</v>
      </c>
      <c r="AY576" t="s">
        <v>59</v>
      </c>
      <c r="AZ576" t="s">
        <v>60</v>
      </c>
      <c r="BA576" s="23">
        <f t="shared" si="8"/>
        <v>0</v>
      </c>
      <c r="BB576" s="23">
        <f>IF(AND(ISNUMBER(H576),Metadata!$H$5&gt;Metadata!$G$5),MAX(Metadata!$G$5-H576,0,H576-Metadata!$H$5)/(Metadata!$H$5-Metadata!$G$5),"Missing input")</f>
        <v>0</v>
      </c>
      <c r="BC576" s="23">
        <f>IF(AND(ISNUMBER(L576),Metadata!$H$8&gt;Metadata!$G$8),MAX(Metadata!$G$8-L576,0,L576-Metadata!$H$8)/(Metadata!$H$8-Metadata!$G$8),"Missing input")</f>
        <v>0</v>
      </c>
    </row>
    <row r="577" spans="1:55" x14ac:dyDescent="0.2">
      <c r="A577" t="s">
        <v>671</v>
      </c>
      <c r="B577" t="s">
        <v>656</v>
      </c>
      <c r="C577" t="s">
        <v>466</v>
      </c>
      <c r="D577" t="s">
        <v>55</v>
      </c>
      <c r="E577" t="s">
        <v>467</v>
      </c>
      <c r="F577">
        <v>16</v>
      </c>
      <c r="G577">
        <v>31.1252119640606</v>
      </c>
      <c r="H577">
        <v>39.5069074866867</v>
      </c>
      <c r="I577">
        <v>2.35</v>
      </c>
      <c r="J577">
        <v>2.6</v>
      </c>
      <c r="K577">
        <v>0.54</v>
      </c>
      <c r="L577">
        <v>0.25</v>
      </c>
      <c r="N577">
        <v>125</v>
      </c>
      <c r="O577">
        <v>12</v>
      </c>
      <c r="P577">
        <v>12</v>
      </c>
      <c r="Q577">
        <v>0.53616514621265798</v>
      </c>
      <c r="R577">
        <v>3642703.933702969</v>
      </c>
      <c r="S577">
        <v>-7.1720445162458306E-3</v>
      </c>
      <c r="T577">
        <v>1997.7240994891811</v>
      </c>
      <c r="U577">
        <v>715.72465594585606</v>
      </c>
      <c r="V577">
        <v>441.97435829406669</v>
      </c>
      <c r="W577">
        <v>1.619380496887673</v>
      </c>
      <c r="X577" t="s">
        <v>57</v>
      </c>
      <c r="Y577">
        <v>8</v>
      </c>
      <c r="Z577">
        <v>884.25900000000001</v>
      </c>
      <c r="AA577">
        <v>95.163399999999996</v>
      </c>
      <c r="AB577">
        <v>37.809100000000001</v>
      </c>
      <c r="AC577">
        <v>17.87514331445993</v>
      </c>
      <c r="AD577">
        <v>44.005291283999377</v>
      </c>
      <c r="AE577">
        <v>44.005291283999377</v>
      </c>
      <c r="AF577" t="s">
        <v>58</v>
      </c>
      <c r="AG577" t="b">
        <v>1</v>
      </c>
      <c r="AH577">
        <v>2.4618147395999732</v>
      </c>
      <c r="AI577">
        <v>876.78599999999994</v>
      </c>
      <c r="AJ577">
        <v>91.310100000000006</v>
      </c>
      <c r="AK577">
        <v>37.789400000000001</v>
      </c>
      <c r="AL577">
        <v>17.25125256743965</v>
      </c>
      <c r="AM577">
        <v>42.355468990442539</v>
      </c>
      <c r="AN577">
        <v>42.355468990442539</v>
      </c>
      <c r="AO577" t="s">
        <v>58</v>
      </c>
      <c r="AP577" t="b">
        <v>1</v>
      </c>
      <c r="AQ577">
        <v>2.4552112274087889</v>
      </c>
      <c r="AR577">
        <v>884.25900000000001</v>
      </c>
      <c r="AS577">
        <v>44.005291283999377</v>
      </c>
      <c r="AT577">
        <v>2.4618147395999732</v>
      </c>
      <c r="AU577" s="5">
        <v>32.871952589147533</v>
      </c>
      <c r="AV577" s="5">
        <v>46.953645800027331</v>
      </c>
      <c r="AW577" s="5">
        <v>1.8389756104811801</v>
      </c>
      <c r="AX577" s="5">
        <v>2.6267563271531711</v>
      </c>
      <c r="AY577" t="s">
        <v>59</v>
      </c>
      <c r="AZ577" t="s">
        <v>60</v>
      </c>
      <c r="BA577" s="23">
        <f t="shared" si="8"/>
        <v>0</v>
      </c>
      <c r="BB577" s="23">
        <f>IF(AND(ISNUMBER(H577),Metadata!$H$5&gt;Metadata!$G$5),MAX(Metadata!$G$5-H577,0,H577-Metadata!$H$5)/(Metadata!$H$5-Metadata!$G$5),"Missing input")</f>
        <v>0</v>
      </c>
      <c r="BC577" s="23">
        <f>IF(AND(ISNUMBER(L577),Metadata!$H$8&gt;Metadata!$G$8),MAX(Metadata!$G$8-L577,0,L577-Metadata!$H$8)/(Metadata!$H$8-Metadata!$G$8),"Missing input")</f>
        <v>0</v>
      </c>
    </row>
    <row r="578" spans="1:55" x14ac:dyDescent="0.2">
      <c r="A578" t="s">
        <v>672</v>
      </c>
      <c r="B578" t="s">
        <v>656</v>
      </c>
      <c r="C578" t="s">
        <v>466</v>
      </c>
      <c r="D578" t="s">
        <v>55</v>
      </c>
      <c r="E578" t="s">
        <v>467</v>
      </c>
      <c r="F578">
        <v>17</v>
      </c>
      <c r="G578">
        <v>46.390186033042063</v>
      </c>
      <c r="H578">
        <v>16.21387510983789</v>
      </c>
      <c r="I578">
        <v>2.35</v>
      </c>
      <c r="J578">
        <v>2.6</v>
      </c>
      <c r="K578">
        <v>0.54</v>
      </c>
      <c r="L578">
        <v>0.25</v>
      </c>
      <c r="N578">
        <v>125</v>
      </c>
      <c r="O578">
        <v>12</v>
      </c>
      <c r="P578">
        <v>12</v>
      </c>
      <c r="Q578">
        <v>0.53616514621265798</v>
      </c>
      <c r="R578">
        <v>2210215.3729856689</v>
      </c>
      <c r="S578">
        <v>-4.7017774166040914E-3</v>
      </c>
      <c r="T578">
        <v>1339.398665910589</v>
      </c>
      <c r="U578">
        <v>777.10568399344538</v>
      </c>
      <c r="V578">
        <v>296.32713847579419</v>
      </c>
      <c r="W578">
        <v>2.6224587055732131</v>
      </c>
      <c r="X578" t="s">
        <v>57</v>
      </c>
      <c r="Y578">
        <v>8</v>
      </c>
      <c r="Z578">
        <v>867.84900000000005</v>
      </c>
      <c r="AA578">
        <v>95.145800000000008</v>
      </c>
      <c r="AB578">
        <v>62.400700000000001</v>
      </c>
      <c r="AC578">
        <v>17.443843972081218</v>
      </c>
      <c r="AD578">
        <v>85.490726790172261</v>
      </c>
      <c r="AE578">
        <v>85.490726790172261</v>
      </c>
      <c r="AF578" t="s">
        <v>58</v>
      </c>
      <c r="AG578" t="b">
        <v>1</v>
      </c>
      <c r="AH578">
        <v>4.9009109991467312</v>
      </c>
      <c r="AI578">
        <v>860.78899999999999</v>
      </c>
      <c r="AJ578">
        <v>82.851599999999991</v>
      </c>
      <c r="AK578">
        <v>51.757599999999996</v>
      </c>
      <c r="AL578">
        <v>16.970541897940919</v>
      </c>
      <c r="AM578">
        <v>51.873146119930936</v>
      </c>
      <c r="AN578">
        <v>51.873146119930936</v>
      </c>
      <c r="AO578" t="s">
        <v>58</v>
      </c>
      <c r="AP578" t="b">
        <v>1</v>
      </c>
      <c r="AQ578">
        <v>3.0566582040744881</v>
      </c>
      <c r="AR578">
        <v>867.84900000000005</v>
      </c>
      <c r="AS578">
        <v>85.490726790172261</v>
      </c>
      <c r="AT578">
        <v>4.9009109991467312</v>
      </c>
      <c r="AU578" s="5">
        <v>63.86157291225868</v>
      </c>
      <c r="AV578" s="5">
        <v>91.218605485113798</v>
      </c>
      <c r="AW578" s="5">
        <v>3.6609805163626081</v>
      </c>
      <c r="AX578" s="5">
        <v>5.2292720360895624</v>
      </c>
      <c r="AY578" t="s">
        <v>59</v>
      </c>
      <c r="AZ578" t="s">
        <v>60</v>
      </c>
      <c r="BA578" s="23">
        <f t="shared" ref="BA578:BA621" si="9">IF(COUNT(BB578:BC578)=2,MAX(BB578:BC578),"Missing input")</f>
        <v>0</v>
      </c>
      <c r="BB578" s="23">
        <f>IF(AND(ISNUMBER(H578),Metadata!$H$5&gt;Metadata!$G$5),MAX(Metadata!$G$5-H578,0,H578-Metadata!$H$5)/(Metadata!$H$5-Metadata!$G$5),"Missing input")</f>
        <v>0</v>
      </c>
      <c r="BC578" s="23">
        <f>IF(AND(ISNUMBER(L578),Metadata!$H$8&gt;Metadata!$G$8),MAX(Metadata!$G$8-L578,0,L578-Metadata!$H$8)/(Metadata!$H$8-Metadata!$G$8),"Missing input")</f>
        <v>0</v>
      </c>
    </row>
    <row r="579" spans="1:55" x14ac:dyDescent="0.2">
      <c r="A579" t="s">
        <v>673</v>
      </c>
      <c r="B579" t="s">
        <v>656</v>
      </c>
      <c r="C579" t="s">
        <v>466</v>
      </c>
      <c r="D579" t="s">
        <v>55</v>
      </c>
      <c r="E579" t="s">
        <v>467</v>
      </c>
      <c r="F579">
        <v>18</v>
      </c>
      <c r="G579">
        <v>54.165408264435399</v>
      </c>
      <c r="H579">
        <v>18.25275816413232</v>
      </c>
      <c r="I579">
        <v>2.35</v>
      </c>
      <c r="J579">
        <v>2.6</v>
      </c>
      <c r="K579">
        <v>0.54</v>
      </c>
      <c r="L579">
        <v>0.25</v>
      </c>
      <c r="N579">
        <v>125</v>
      </c>
      <c r="O579">
        <v>12</v>
      </c>
      <c r="P579">
        <v>12</v>
      </c>
      <c r="Q579">
        <v>0.53616514621265798</v>
      </c>
      <c r="R579">
        <v>2919725.6187367002</v>
      </c>
      <c r="S579">
        <v>-5.063335163531045E-3</v>
      </c>
      <c r="T579">
        <v>1597.5364102951621</v>
      </c>
      <c r="U579">
        <v>804.44140245145684</v>
      </c>
      <c r="V579">
        <v>353.437258914859</v>
      </c>
      <c r="W579">
        <v>2.2760514975735542</v>
      </c>
      <c r="X579" t="s">
        <v>57</v>
      </c>
      <c r="Y579">
        <v>8</v>
      </c>
      <c r="Z579">
        <v>990.94200000000001</v>
      </c>
      <c r="AA579">
        <v>95.163399999999996</v>
      </c>
      <c r="AB579">
        <v>51.296399999999998</v>
      </c>
      <c r="AC579">
        <v>17.385527103896099</v>
      </c>
      <c r="AD579">
        <v>85.566608829431445</v>
      </c>
      <c r="AE579">
        <v>85.566608829431445</v>
      </c>
      <c r="AF579" t="s">
        <v>58</v>
      </c>
      <c r="AG579" t="b">
        <v>1</v>
      </c>
      <c r="AH579">
        <v>4.921714959695179</v>
      </c>
      <c r="AI579">
        <v>984.88599999999997</v>
      </c>
      <c r="AJ579">
        <v>91.310100000000006</v>
      </c>
      <c r="AK579">
        <v>59.223300000000002</v>
      </c>
      <c r="AL579">
        <v>17.05079928205128</v>
      </c>
      <c r="AM579">
        <v>85.612271707920797</v>
      </c>
      <c r="AN579">
        <v>85.612271707920797</v>
      </c>
      <c r="AO579" t="s">
        <v>58</v>
      </c>
      <c r="AP579" t="b">
        <v>1</v>
      </c>
      <c r="AQ579">
        <v>5.0210122289130181</v>
      </c>
      <c r="AR579">
        <v>990.94200000000001</v>
      </c>
      <c r="AS579">
        <v>85.612271707920797</v>
      </c>
      <c r="AT579">
        <v>5.0210122289130181</v>
      </c>
      <c r="AU579" s="5">
        <v>63.952366965816836</v>
      </c>
      <c r="AV579" s="5">
        <v>91.34829391235148</v>
      </c>
      <c r="AW579" s="5">
        <v>3.7506961349980243</v>
      </c>
      <c r="AX579" s="5">
        <v>5.3574200482501899</v>
      </c>
      <c r="AY579" t="s">
        <v>59</v>
      </c>
      <c r="AZ579" t="s">
        <v>60</v>
      </c>
      <c r="BA579" s="23">
        <f t="shared" si="9"/>
        <v>0</v>
      </c>
      <c r="BB579" s="23">
        <f>IF(AND(ISNUMBER(H579),Metadata!$H$5&gt;Metadata!$G$5),MAX(Metadata!$G$5-H579,0,H579-Metadata!$H$5)/(Metadata!$H$5-Metadata!$G$5),"Missing input")</f>
        <v>0</v>
      </c>
      <c r="BC579" s="23">
        <f>IF(AND(ISNUMBER(L579),Metadata!$H$8&gt;Metadata!$G$8),MAX(Metadata!$G$8-L579,0,L579-Metadata!$H$8)/(Metadata!$H$8-Metadata!$G$8),"Missing input")</f>
        <v>0</v>
      </c>
    </row>
    <row r="580" spans="1:55" x14ac:dyDescent="0.2">
      <c r="A580" t="s">
        <v>674</v>
      </c>
      <c r="B580" t="s">
        <v>656</v>
      </c>
      <c r="C580" t="s">
        <v>466</v>
      </c>
      <c r="D580" t="s">
        <v>55</v>
      </c>
      <c r="E580" t="s">
        <v>467</v>
      </c>
      <c r="F580">
        <v>19</v>
      </c>
      <c r="G580">
        <v>21.707483118551171</v>
      </c>
      <c r="H580">
        <v>43.497365085878002</v>
      </c>
      <c r="I580">
        <v>2.35</v>
      </c>
      <c r="J580">
        <v>2.6</v>
      </c>
      <c r="K580">
        <v>0.54</v>
      </c>
      <c r="L580">
        <v>0.25</v>
      </c>
      <c r="N580">
        <v>125</v>
      </c>
      <c r="O580">
        <v>12</v>
      </c>
      <c r="P580">
        <v>12</v>
      </c>
      <c r="Q580">
        <v>0.53616514621265798</v>
      </c>
      <c r="R580">
        <v>2786376.2799094608</v>
      </c>
      <c r="S580">
        <v>-7.1938878075518348E-3</v>
      </c>
      <c r="T580">
        <v>1666.735710591993</v>
      </c>
      <c r="U580">
        <v>669.89609780516332</v>
      </c>
      <c r="V580">
        <v>368.74683862654717</v>
      </c>
      <c r="W580">
        <v>1.8166829586940769</v>
      </c>
      <c r="X580" t="s">
        <v>57</v>
      </c>
      <c r="Y580">
        <v>8</v>
      </c>
      <c r="Z580">
        <v>739.14499999999998</v>
      </c>
      <c r="AA580">
        <v>95.163399999999996</v>
      </c>
      <c r="AB580">
        <v>37.305400000000013</v>
      </c>
      <c r="AC580">
        <v>18.249395407645469</v>
      </c>
      <c r="AD580">
        <v>42.863233483754513</v>
      </c>
      <c r="AE580">
        <v>42.863233483754513</v>
      </c>
      <c r="AF580" t="s">
        <v>58</v>
      </c>
      <c r="AG580" t="b">
        <v>1</v>
      </c>
      <c r="AH580">
        <v>2.3487481380230939</v>
      </c>
      <c r="AI580">
        <v>727.29600000000005</v>
      </c>
      <c r="AJ580">
        <v>91.310100000000006</v>
      </c>
      <c r="AK580">
        <v>32.289299999999997</v>
      </c>
      <c r="AL580">
        <v>17.440249190938509</v>
      </c>
      <c r="AM580">
        <v>41.320998247050333</v>
      </c>
      <c r="AN580">
        <v>41.320998247050333</v>
      </c>
      <c r="AO580" t="s">
        <v>58</v>
      </c>
      <c r="AP580" t="b">
        <v>1</v>
      </c>
      <c r="AQ580">
        <v>2.369289440458203</v>
      </c>
      <c r="AR580">
        <v>739.14499999999998</v>
      </c>
      <c r="AS580">
        <v>42.863233483754513</v>
      </c>
      <c r="AT580">
        <v>2.369289440458203</v>
      </c>
      <c r="AU580" s="5">
        <v>32.018835412364623</v>
      </c>
      <c r="AV580" s="5">
        <v>45.735070127166061</v>
      </c>
      <c r="AW580" s="5">
        <v>1.7698592120222776</v>
      </c>
      <c r="AX580" s="5">
        <v>2.5280318329689027</v>
      </c>
      <c r="AY580" t="s">
        <v>64</v>
      </c>
      <c r="AZ580" t="s">
        <v>7</v>
      </c>
      <c r="BA580" s="23">
        <f t="shared" si="9"/>
        <v>9.4596678167087334E-2</v>
      </c>
      <c r="BB580" s="23">
        <f>IF(AND(ISNUMBER(H580),Metadata!$H$5&gt;Metadata!$G$5),MAX(Metadata!$G$5-H580,0,H580-Metadata!$H$5)/(Metadata!$H$5-Metadata!$G$5),"Missing input")</f>
        <v>9.4596678167087334E-2</v>
      </c>
      <c r="BC580" s="23">
        <f>IF(AND(ISNUMBER(L580),Metadata!$H$8&gt;Metadata!$G$8),MAX(Metadata!$G$8-L580,0,L580-Metadata!$H$8)/(Metadata!$H$8-Metadata!$G$8),"Missing input")</f>
        <v>0</v>
      </c>
    </row>
    <row r="581" spans="1:55" x14ac:dyDescent="0.2">
      <c r="A581" t="s">
        <v>675</v>
      </c>
      <c r="B581" t="s">
        <v>656</v>
      </c>
      <c r="C581" t="s">
        <v>466</v>
      </c>
      <c r="D581" t="s">
        <v>55</v>
      </c>
      <c r="E581" t="s">
        <v>467</v>
      </c>
      <c r="F581">
        <v>20</v>
      </c>
      <c r="G581">
        <v>53.035991243371583</v>
      </c>
      <c r="H581">
        <v>30.34654288470276</v>
      </c>
      <c r="I581">
        <v>2.35</v>
      </c>
      <c r="J581">
        <v>2.6</v>
      </c>
      <c r="K581">
        <v>0.54</v>
      </c>
      <c r="L581">
        <v>0.25</v>
      </c>
      <c r="N581">
        <v>125</v>
      </c>
      <c r="O581">
        <v>12</v>
      </c>
      <c r="P581">
        <v>12</v>
      </c>
      <c r="Q581">
        <v>0.53616514621265798</v>
      </c>
      <c r="R581">
        <v>4782098.2730990862</v>
      </c>
      <c r="S581">
        <v>-6.6990883834008759E-3</v>
      </c>
      <c r="T581">
        <v>2407.0718044934501</v>
      </c>
      <c r="U581">
        <v>800.59853302729891</v>
      </c>
      <c r="V581">
        <v>532.53800984368365</v>
      </c>
      <c r="W581">
        <v>1.503364113412861</v>
      </c>
      <c r="X581" t="s">
        <v>57</v>
      </c>
      <c r="Y581">
        <v>8</v>
      </c>
      <c r="Z581">
        <v>1170.74</v>
      </c>
      <c r="AA581">
        <v>95.163399999999996</v>
      </c>
      <c r="AB581">
        <v>44.910200000000003</v>
      </c>
      <c r="AC581">
        <v>17.991314385474858</v>
      </c>
      <c r="AD581">
        <v>51.501895954031163</v>
      </c>
      <c r="AE581">
        <v>51.501895954031163</v>
      </c>
      <c r="AF581" t="s">
        <v>58</v>
      </c>
      <c r="AG581" t="b">
        <v>1</v>
      </c>
      <c r="AH581">
        <v>2.8625977430315359</v>
      </c>
      <c r="AI581">
        <v>1163.53</v>
      </c>
      <c r="AJ581">
        <v>91.310100000000006</v>
      </c>
      <c r="AK581">
        <v>44.200299999999999</v>
      </c>
      <c r="AL581">
        <v>17.533263539102439</v>
      </c>
      <c r="AM581">
        <v>51.841328615384619</v>
      </c>
      <c r="AN581">
        <v>51.841328615384619</v>
      </c>
      <c r="AO581" t="s">
        <v>58</v>
      </c>
      <c r="AP581" t="b">
        <v>1</v>
      </c>
      <c r="AQ581">
        <v>2.956741538719748</v>
      </c>
      <c r="AR581">
        <v>1170.74</v>
      </c>
      <c r="AS581">
        <v>51.841328615384619</v>
      </c>
      <c r="AT581">
        <v>2.956741538719748</v>
      </c>
      <c r="AU581" s="5">
        <v>38.725472475692307</v>
      </c>
      <c r="AV581" s="5">
        <v>55.314697632615385</v>
      </c>
      <c r="AW581" s="5">
        <v>2.2086859294236518</v>
      </c>
      <c r="AX581" s="5">
        <v>3.1548432218139708</v>
      </c>
      <c r="AY581" t="s">
        <v>59</v>
      </c>
      <c r="AZ581" t="s">
        <v>60</v>
      </c>
      <c r="BA581" s="23">
        <f t="shared" si="9"/>
        <v>0</v>
      </c>
      <c r="BB581" s="23">
        <f>IF(AND(ISNUMBER(H581),Metadata!$H$5&gt;Metadata!$G$5),MAX(Metadata!$G$5-H581,0,H581-Metadata!$H$5)/(Metadata!$H$5-Metadata!$G$5),"Missing input")</f>
        <v>0</v>
      </c>
      <c r="BC581" s="23">
        <f>IF(AND(ISNUMBER(L581),Metadata!$H$8&gt;Metadata!$G$8),MAX(Metadata!$G$8-L581,0,L581-Metadata!$H$8)/(Metadata!$H$8-Metadata!$G$8),"Missing input")</f>
        <v>0</v>
      </c>
    </row>
    <row r="582" spans="1:55" x14ac:dyDescent="0.2">
      <c r="A582" t="s">
        <v>676</v>
      </c>
      <c r="B582" t="s">
        <v>677</v>
      </c>
      <c r="C582" t="s">
        <v>466</v>
      </c>
      <c r="D582" t="s">
        <v>55</v>
      </c>
      <c r="E582" t="s">
        <v>467</v>
      </c>
      <c r="F582">
        <v>1</v>
      </c>
      <c r="G582">
        <v>22.11413992487228</v>
      </c>
      <c r="H582">
        <v>28.832065765515338</v>
      </c>
      <c r="I582">
        <v>2.8</v>
      </c>
      <c r="J582">
        <v>3</v>
      </c>
      <c r="K582">
        <v>0.54</v>
      </c>
      <c r="L582">
        <v>0.25</v>
      </c>
      <c r="N582">
        <v>125</v>
      </c>
      <c r="O582">
        <v>16</v>
      </c>
      <c r="P582">
        <v>8</v>
      </c>
      <c r="Q582">
        <v>0.53616514621265798</v>
      </c>
      <c r="R582">
        <v>1866510.334985178</v>
      </c>
      <c r="S582">
        <v>-7.0741057550075814E-3</v>
      </c>
      <c r="T582">
        <v>1394.4508393434189</v>
      </c>
      <c r="U582">
        <v>672.06023102885479</v>
      </c>
      <c r="V582">
        <v>308.50682286358841</v>
      </c>
      <c r="W582">
        <v>2.1784290693824229</v>
      </c>
      <c r="X582" t="s">
        <v>57</v>
      </c>
      <c r="Y582">
        <v>8</v>
      </c>
      <c r="Z582">
        <v>770.82600000000002</v>
      </c>
      <c r="AA582">
        <v>95.163399999999996</v>
      </c>
      <c r="AB582">
        <v>51.296399999999998</v>
      </c>
      <c r="AC582">
        <v>20.978557208276801</v>
      </c>
      <c r="AD582">
        <v>66.305590516023884</v>
      </c>
      <c r="AE582">
        <v>66.305590516023884</v>
      </c>
      <c r="AF582" t="s">
        <v>58</v>
      </c>
      <c r="AG582" t="b">
        <v>1</v>
      </c>
      <c r="AH582">
        <v>3.1606363515725451</v>
      </c>
      <c r="AI582">
        <v>766.303</v>
      </c>
      <c r="AJ582">
        <v>91.310100000000006</v>
      </c>
      <c r="AK582">
        <v>51.757599999999996</v>
      </c>
      <c r="AL582">
        <v>20.724011229103869</v>
      </c>
      <c r="AM582">
        <v>68.066170979443768</v>
      </c>
      <c r="AN582">
        <v>68.066170979443768</v>
      </c>
      <c r="AO582" t="s">
        <v>58</v>
      </c>
      <c r="AP582" t="b">
        <v>1</v>
      </c>
      <c r="AQ582">
        <v>3.2844110257889989</v>
      </c>
      <c r="AR582">
        <v>770.82600000000002</v>
      </c>
      <c r="AS582">
        <v>68.066170979443768</v>
      </c>
      <c r="AT582">
        <v>3.2844110257889989</v>
      </c>
      <c r="AU582" s="5">
        <v>50.845429721644493</v>
      </c>
      <c r="AV582" s="5">
        <v>72.626604435066497</v>
      </c>
      <c r="AW582" s="5">
        <v>2.4534550362643821</v>
      </c>
      <c r="AX582" s="5">
        <v>3.5044665645168616</v>
      </c>
      <c r="AY582" t="s">
        <v>59</v>
      </c>
      <c r="AZ582" t="s">
        <v>60</v>
      </c>
      <c r="BA582" s="23">
        <f t="shared" si="9"/>
        <v>0</v>
      </c>
      <c r="BB582" s="23">
        <f>IF(AND(ISNUMBER(H582),Metadata!$H$5&gt;Metadata!$G$5),MAX(Metadata!$G$5-H582,0,H582-Metadata!$H$5)/(Metadata!$H$5-Metadata!$G$5),"Missing input")</f>
        <v>0</v>
      </c>
      <c r="BC582" s="23">
        <f>IF(AND(ISNUMBER(L582),Metadata!$H$8&gt;Metadata!$G$8),MAX(Metadata!$G$8-L582,0,L582-Metadata!$H$8)/(Metadata!$H$8-Metadata!$G$8),"Missing input")</f>
        <v>0</v>
      </c>
    </row>
    <row r="583" spans="1:55" x14ac:dyDescent="0.2">
      <c r="A583" t="s">
        <v>678</v>
      </c>
      <c r="B583" t="s">
        <v>677</v>
      </c>
      <c r="C583" t="s">
        <v>466</v>
      </c>
      <c r="D583" t="s">
        <v>55</v>
      </c>
      <c r="E583" t="s">
        <v>467</v>
      </c>
      <c r="F583">
        <v>2</v>
      </c>
      <c r="G583">
        <v>39.289372610104301</v>
      </c>
      <c r="H583">
        <v>11.43599740060767</v>
      </c>
      <c r="I583">
        <v>2.8</v>
      </c>
      <c r="J583">
        <v>3</v>
      </c>
      <c r="K583">
        <v>0.54</v>
      </c>
      <c r="L583">
        <v>0.25</v>
      </c>
      <c r="N583">
        <v>125</v>
      </c>
      <c r="O583">
        <v>16</v>
      </c>
      <c r="P583">
        <v>8</v>
      </c>
      <c r="Q583">
        <v>0.53616514621265798</v>
      </c>
      <c r="R583">
        <v>1301660.814121977</v>
      </c>
      <c r="S583">
        <v>-4.0468081526340563E-3</v>
      </c>
      <c r="T583">
        <v>1151.825982688998</v>
      </c>
      <c r="U583">
        <v>750.05745558684532</v>
      </c>
      <c r="V583">
        <v>254.8287572320792</v>
      </c>
      <c r="W583">
        <v>2.9433783837188692</v>
      </c>
      <c r="X583" t="s">
        <v>57</v>
      </c>
      <c r="Y583">
        <v>8</v>
      </c>
      <c r="Z583">
        <v>762.41700000000003</v>
      </c>
      <c r="AA583">
        <v>95.163399999999996</v>
      </c>
      <c r="AB583">
        <v>65.006200000000007</v>
      </c>
      <c r="AC583">
        <v>18.35048047219771</v>
      </c>
      <c r="AE583">
        <v>95.163399999999996</v>
      </c>
      <c r="AF583" t="s">
        <v>62</v>
      </c>
      <c r="AG583" t="b">
        <v>0</v>
      </c>
      <c r="AH583">
        <v>5.1858805628647913</v>
      </c>
      <c r="AI583">
        <v>759.447</v>
      </c>
      <c r="AJ583">
        <v>91.310100000000006</v>
      </c>
      <c r="AK583">
        <v>72.701499999999996</v>
      </c>
      <c r="AL583">
        <v>17.98431496380196</v>
      </c>
      <c r="AN583">
        <v>91.310100000000006</v>
      </c>
      <c r="AO583" t="s">
        <v>62</v>
      </c>
      <c r="AP583" t="b">
        <v>0</v>
      </c>
      <c r="AQ583">
        <v>5.0772075658030316</v>
      </c>
      <c r="AR583">
        <v>762.41700000000003</v>
      </c>
      <c r="AS583">
        <v>95.163399999999996</v>
      </c>
      <c r="AT583">
        <v>5.1858805628647913</v>
      </c>
      <c r="AU583" s="5">
        <v>71.087059799999992</v>
      </c>
      <c r="AV583" s="5">
        <v>101.53934779999999</v>
      </c>
      <c r="AW583" s="5">
        <v>3.8738527804599991</v>
      </c>
      <c r="AX583" s="5">
        <v>5.5333345605767317</v>
      </c>
      <c r="AY583" t="s">
        <v>59</v>
      </c>
      <c r="AZ583" t="s">
        <v>60</v>
      </c>
      <c r="BA583" s="23">
        <f t="shared" si="9"/>
        <v>0</v>
      </c>
      <c r="BB583" s="23">
        <f>IF(AND(ISNUMBER(H583),Metadata!$H$5&gt;Metadata!$G$5),MAX(Metadata!$G$5-H583,0,H583-Metadata!$H$5)/(Metadata!$H$5-Metadata!$G$5),"Missing input")</f>
        <v>0</v>
      </c>
      <c r="BC583" s="23">
        <f>IF(AND(ISNUMBER(L583),Metadata!$H$8&gt;Metadata!$G$8),MAX(Metadata!$G$8-L583,0,L583-Metadata!$H$8)/(Metadata!$H$8-Metadata!$G$8),"Missing input")</f>
        <v>0</v>
      </c>
    </row>
    <row r="584" spans="1:55" x14ac:dyDescent="0.2">
      <c r="A584" t="s">
        <v>679</v>
      </c>
      <c r="B584" t="s">
        <v>677</v>
      </c>
      <c r="C584" t="s">
        <v>466</v>
      </c>
      <c r="D584" t="s">
        <v>55</v>
      </c>
      <c r="E584" t="s">
        <v>467</v>
      </c>
      <c r="F584">
        <v>3</v>
      </c>
      <c r="G584">
        <v>50.720967279676117</v>
      </c>
      <c r="H584">
        <v>41.572102032205443</v>
      </c>
      <c r="I584">
        <v>2.8</v>
      </c>
      <c r="J584">
        <v>3</v>
      </c>
      <c r="K584">
        <v>0.54</v>
      </c>
      <c r="L584">
        <v>0.25</v>
      </c>
      <c r="N584">
        <v>125</v>
      </c>
      <c r="O584">
        <v>16</v>
      </c>
      <c r="P584">
        <v>8</v>
      </c>
      <c r="Q584">
        <v>0.53616514621265798</v>
      </c>
      <c r="R584">
        <v>6279453.0057685468</v>
      </c>
      <c r="S584">
        <v>-7.8459228311685072E-3</v>
      </c>
      <c r="T584">
        <v>3252.5977363502138</v>
      </c>
      <c r="U584">
        <v>792.59154081609961</v>
      </c>
      <c r="V584">
        <v>719.60126910402971</v>
      </c>
      <c r="W584">
        <v>1.1014315494509199</v>
      </c>
      <c r="X584" t="s">
        <v>87</v>
      </c>
      <c r="Y584">
        <v>8</v>
      </c>
      <c r="Z584">
        <v>1253.5999999999999</v>
      </c>
      <c r="AA584">
        <v>95.163399999999996</v>
      </c>
      <c r="AB584">
        <v>37.809100000000001</v>
      </c>
      <c r="AC584">
        <v>18.63786071887035</v>
      </c>
      <c r="AD584">
        <v>44.433687373298582</v>
      </c>
      <c r="AE584">
        <v>44.433687373298582</v>
      </c>
      <c r="AF584" t="s">
        <v>58</v>
      </c>
      <c r="AG584" t="b">
        <v>1</v>
      </c>
      <c r="AH584">
        <v>2.3840551253991631</v>
      </c>
      <c r="AI584">
        <v>1255.07</v>
      </c>
      <c r="AJ584">
        <v>91.310100000000006</v>
      </c>
      <c r="AK584">
        <v>39.358900000000013</v>
      </c>
      <c r="AL584">
        <v>18.076462988040799</v>
      </c>
      <c r="AM584">
        <v>42.880456841902749</v>
      </c>
      <c r="AN584">
        <v>42.880456841902749</v>
      </c>
      <c r="AO584" t="s">
        <v>58</v>
      </c>
      <c r="AP584" t="b">
        <v>1</v>
      </c>
      <c r="AQ584">
        <v>2.3721707543268842</v>
      </c>
      <c r="AR584">
        <v>1255.07</v>
      </c>
      <c r="AS584">
        <v>44.433687373298582</v>
      </c>
      <c r="AT584">
        <v>2.3840551253991631</v>
      </c>
      <c r="AU584" s="5" t="s">
        <v>88</v>
      </c>
      <c r="AV584" s="5" t="s">
        <v>88</v>
      </c>
      <c r="AW584" s="5" t="s">
        <v>88</v>
      </c>
      <c r="AX584" s="5" t="s">
        <v>88</v>
      </c>
      <c r="AY584" t="s">
        <v>64</v>
      </c>
      <c r="AZ584" t="s">
        <v>7</v>
      </c>
      <c r="BA584" s="23">
        <f t="shared" si="9"/>
        <v>4.6063612035701466E-2</v>
      </c>
      <c r="BB584" s="23">
        <f>IF(AND(ISNUMBER(H584),Metadata!$H$5&gt;Metadata!$G$5),MAX(Metadata!$G$5-H584,0,H584-Metadata!$H$5)/(Metadata!$H$5-Metadata!$G$5),"Missing input")</f>
        <v>4.6063612035701466E-2</v>
      </c>
      <c r="BC584" s="23">
        <f>IF(AND(ISNUMBER(L584),Metadata!$H$8&gt;Metadata!$G$8),MAX(Metadata!$G$8-L584,0,L584-Metadata!$H$8)/(Metadata!$H$8-Metadata!$G$8),"Missing input")</f>
        <v>0</v>
      </c>
    </row>
    <row r="585" spans="1:55" x14ac:dyDescent="0.2">
      <c r="A585" t="s">
        <v>680</v>
      </c>
      <c r="B585" t="s">
        <v>677</v>
      </c>
      <c r="C585" t="s">
        <v>466</v>
      </c>
      <c r="D585" t="s">
        <v>55</v>
      </c>
      <c r="E585" t="s">
        <v>467</v>
      </c>
      <c r="F585">
        <v>4</v>
      </c>
      <c r="G585">
        <v>40.065365059576777</v>
      </c>
      <c r="H585">
        <v>25.23064360495534</v>
      </c>
      <c r="I585">
        <v>2.8</v>
      </c>
      <c r="J585">
        <v>3</v>
      </c>
      <c r="K585">
        <v>0.54</v>
      </c>
      <c r="L585">
        <v>0.25</v>
      </c>
      <c r="N585">
        <v>125</v>
      </c>
      <c r="O585">
        <v>16</v>
      </c>
      <c r="P585">
        <v>8</v>
      </c>
      <c r="Q585">
        <v>0.53616514621265798</v>
      </c>
      <c r="R585">
        <v>2986346.165161836</v>
      </c>
      <c r="S585">
        <v>-6.5995768198409167E-3</v>
      </c>
      <c r="T585">
        <v>1790.2412348399289</v>
      </c>
      <c r="U585">
        <v>753.12627800274458</v>
      </c>
      <c r="V585">
        <v>396.07106965485161</v>
      </c>
      <c r="W585">
        <v>1.90149277668536</v>
      </c>
      <c r="X585" t="s">
        <v>57</v>
      </c>
      <c r="Y585">
        <v>8</v>
      </c>
      <c r="Z585">
        <v>988.66200000000003</v>
      </c>
      <c r="AA585">
        <v>95.163399999999996</v>
      </c>
      <c r="AB585">
        <v>51.296399999999998</v>
      </c>
      <c r="AC585">
        <v>19.604908452446399</v>
      </c>
      <c r="AD585">
        <v>72.111379142857146</v>
      </c>
      <c r="AE585">
        <v>72.111379142857146</v>
      </c>
      <c r="AF585" t="s">
        <v>58</v>
      </c>
      <c r="AG585" t="b">
        <v>1</v>
      </c>
      <c r="AH585">
        <v>3.678230853144266</v>
      </c>
      <c r="AI585">
        <v>983.98800000000006</v>
      </c>
      <c r="AJ585">
        <v>91.310100000000006</v>
      </c>
      <c r="AK585">
        <v>51.757599999999996</v>
      </c>
      <c r="AL585">
        <v>19.356528936921041</v>
      </c>
      <c r="AM585">
        <v>72.093749142280515</v>
      </c>
      <c r="AN585">
        <v>72.093749142280515</v>
      </c>
      <c r="AO585" t="s">
        <v>58</v>
      </c>
      <c r="AP585" t="b">
        <v>1</v>
      </c>
      <c r="AQ585">
        <v>3.7245184494192771</v>
      </c>
      <c r="AR585">
        <v>988.66200000000003</v>
      </c>
      <c r="AS585">
        <v>72.111379142857146</v>
      </c>
      <c r="AT585">
        <v>3.7245184494192771</v>
      </c>
      <c r="AU585" s="5">
        <v>53.867200219714285</v>
      </c>
      <c r="AV585" s="5">
        <v>76.942841545428564</v>
      </c>
      <c r="AW585" s="5">
        <v>2.7822152817162</v>
      </c>
      <c r="AX585" s="5">
        <v>3.9740611855303687</v>
      </c>
      <c r="AY585" t="s">
        <v>59</v>
      </c>
      <c r="AZ585" t="s">
        <v>60</v>
      </c>
      <c r="BA585" s="23">
        <f t="shared" si="9"/>
        <v>0</v>
      </c>
      <c r="BB585" s="23">
        <f>IF(AND(ISNUMBER(H585),Metadata!$H$5&gt;Metadata!$G$5),MAX(Metadata!$G$5-H585,0,H585-Metadata!$H$5)/(Metadata!$H$5-Metadata!$G$5),"Missing input")</f>
        <v>0</v>
      </c>
      <c r="BC585" s="23">
        <f>IF(AND(ISNUMBER(L585),Metadata!$H$8&gt;Metadata!$G$8),MAX(Metadata!$G$8-L585,0,L585-Metadata!$H$8)/(Metadata!$H$8-Metadata!$G$8),"Missing input")</f>
        <v>0</v>
      </c>
    </row>
    <row r="586" spans="1:55" x14ac:dyDescent="0.2">
      <c r="A586" t="s">
        <v>681</v>
      </c>
      <c r="B586" t="s">
        <v>677</v>
      </c>
      <c r="C586" t="s">
        <v>466</v>
      </c>
      <c r="D586" t="s">
        <v>55</v>
      </c>
      <c r="E586" t="s">
        <v>467</v>
      </c>
      <c r="F586">
        <v>5</v>
      </c>
      <c r="G586">
        <v>44.691650234033148</v>
      </c>
      <c r="H586">
        <v>35.278860063057749</v>
      </c>
      <c r="I586">
        <v>2.8</v>
      </c>
      <c r="J586">
        <v>3</v>
      </c>
      <c r="K586">
        <v>0.54</v>
      </c>
      <c r="L586">
        <v>0.25</v>
      </c>
      <c r="N586">
        <v>125</v>
      </c>
      <c r="O586">
        <v>16</v>
      </c>
      <c r="P586">
        <v>8</v>
      </c>
      <c r="Q586">
        <v>0.53616514621265798</v>
      </c>
      <c r="R586">
        <v>4683732.748780732</v>
      </c>
      <c r="S586">
        <v>-7.6330308770215074E-3</v>
      </c>
      <c r="T586">
        <v>2523.775228914702</v>
      </c>
      <c r="U586">
        <v>770.83560231362162</v>
      </c>
      <c r="V586">
        <v>558.35735152980124</v>
      </c>
      <c r="W586">
        <v>1.3805416910902439</v>
      </c>
      <c r="X586" t="s">
        <v>57</v>
      </c>
      <c r="Y586">
        <v>8</v>
      </c>
      <c r="Z586">
        <v>1140.47</v>
      </c>
      <c r="AA586">
        <v>95.163399999999996</v>
      </c>
      <c r="AB586">
        <v>44.910200000000003</v>
      </c>
      <c r="AC586">
        <v>19.334491194581279</v>
      </c>
      <c r="AD586">
        <v>51.494916271547467</v>
      </c>
      <c r="AE586">
        <v>51.494916271547467</v>
      </c>
      <c r="AF586" t="s">
        <v>58</v>
      </c>
      <c r="AG586" t="b">
        <v>1</v>
      </c>
      <c r="AH586">
        <v>2.6633706443735918</v>
      </c>
      <c r="AI586">
        <v>1130.47</v>
      </c>
      <c r="AJ586">
        <v>91.310100000000006</v>
      </c>
      <c r="AK586">
        <v>43.513199999999998</v>
      </c>
      <c r="AL586">
        <v>18.746243959071229</v>
      </c>
      <c r="AM586">
        <v>51.762780379790136</v>
      </c>
      <c r="AN586">
        <v>51.762780379790136</v>
      </c>
      <c r="AO586" t="s">
        <v>58</v>
      </c>
      <c r="AP586" t="b">
        <v>1</v>
      </c>
      <c r="AQ586">
        <v>2.761234756829372</v>
      </c>
      <c r="AR586">
        <v>1140.47</v>
      </c>
      <c r="AS586">
        <v>51.762780379790136</v>
      </c>
      <c r="AT586">
        <v>2.761234756829372</v>
      </c>
      <c r="AU586" s="5">
        <v>38.666796943703233</v>
      </c>
      <c r="AV586" s="5">
        <v>55.230886665236071</v>
      </c>
      <c r="AW586" s="5">
        <v>2.0626423633515407</v>
      </c>
      <c r="AX586" s="5">
        <v>2.94623748553694</v>
      </c>
      <c r="AY586" t="s">
        <v>59</v>
      </c>
      <c r="AZ586" t="s">
        <v>60</v>
      </c>
      <c r="BA586" s="23">
        <f t="shared" si="9"/>
        <v>0</v>
      </c>
      <c r="BB586" s="23">
        <f>IF(AND(ISNUMBER(H586),Metadata!$H$5&gt;Metadata!$G$5),MAX(Metadata!$G$5-H586,0,H586-Metadata!$H$5)/(Metadata!$H$5-Metadata!$G$5),"Missing input")</f>
        <v>0</v>
      </c>
      <c r="BC586" s="23">
        <f>IF(AND(ISNUMBER(L586),Metadata!$H$8&gt;Metadata!$G$8),MAX(Metadata!$G$8-L586,0,L586-Metadata!$H$8)/(Metadata!$H$8-Metadata!$G$8),"Missing input")</f>
        <v>0</v>
      </c>
    </row>
    <row r="587" spans="1:55" x14ac:dyDescent="0.2">
      <c r="A587" t="s">
        <v>682</v>
      </c>
      <c r="B587" t="s">
        <v>677</v>
      </c>
      <c r="C587" t="s">
        <v>466</v>
      </c>
      <c r="D587" t="s">
        <v>55</v>
      </c>
      <c r="E587" t="s">
        <v>467</v>
      </c>
      <c r="F587">
        <v>6</v>
      </c>
      <c r="G587">
        <v>33.086500490231572</v>
      </c>
      <c r="H587">
        <v>19.79580616436397</v>
      </c>
      <c r="I587">
        <v>2.8</v>
      </c>
      <c r="J587">
        <v>3</v>
      </c>
      <c r="K587">
        <v>0.54</v>
      </c>
      <c r="L587">
        <v>0.25</v>
      </c>
      <c r="N587">
        <v>125</v>
      </c>
      <c r="O587">
        <v>16</v>
      </c>
      <c r="P587">
        <v>8</v>
      </c>
      <c r="Q587">
        <v>0.53616514621265798</v>
      </c>
      <c r="R587">
        <v>1918643.176085273</v>
      </c>
      <c r="S587">
        <v>-5.6883400671605402E-3</v>
      </c>
      <c r="T587">
        <v>1382.540571931816</v>
      </c>
      <c r="U587">
        <v>724.34809556380162</v>
      </c>
      <c r="V587">
        <v>305.87180794951678</v>
      </c>
      <c r="W587">
        <v>2.368142721029566</v>
      </c>
      <c r="X587" t="s">
        <v>57</v>
      </c>
      <c r="Y587">
        <v>8</v>
      </c>
      <c r="Z587">
        <v>835.14200000000005</v>
      </c>
      <c r="AA587">
        <v>93.296900000000008</v>
      </c>
      <c r="AB587">
        <v>65.033900000000003</v>
      </c>
      <c r="AC587">
        <v>19.556325728446989</v>
      </c>
      <c r="AE587">
        <v>93.296900000000008</v>
      </c>
      <c r="AF587" t="s">
        <v>62</v>
      </c>
      <c r="AG587" t="b">
        <v>0</v>
      </c>
      <c r="AH587">
        <v>4.7706763169877373</v>
      </c>
      <c r="AI587">
        <v>818.22900000000004</v>
      </c>
      <c r="AJ587">
        <v>91.360200000000006</v>
      </c>
      <c r="AK587">
        <v>39.358900000000013</v>
      </c>
      <c r="AL587">
        <v>18.793939112615821</v>
      </c>
      <c r="AM587">
        <v>39.405698423366687</v>
      </c>
      <c r="AN587">
        <v>39.405698423366687</v>
      </c>
      <c r="AO587" t="s">
        <v>58</v>
      </c>
      <c r="AP587" t="b">
        <v>1</v>
      </c>
      <c r="AQ587">
        <v>2.0967237462696038</v>
      </c>
      <c r="AR587">
        <v>835.14200000000005</v>
      </c>
      <c r="AS587">
        <v>93.296900000000008</v>
      </c>
      <c r="AT587">
        <v>4.7706763169877373</v>
      </c>
      <c r="AU587" s="5">
        <v>69.6927843</v>
      </c>
      <c r="AV587" s="5">
        <v>99.547792299999998</v>
      </c>
      <c r="AW587" s="5">
        <v>3.5636952087898397</v>
      </c>
      <c r="AX587" s="5">
        <v>5.0903116302259157</v>
      </c>
      <c r="AY587" t="s">
        <v>59</v>
      </c>
      <c r="AZ587" t="s">
        <v>60</v>
      </c>
      <c r="BA587" s="23">
        <f t="shared" si="9"/>
        <v>0</v>
      </c>
      <c r="BB587" s="23">
        <f>IF(AND(ISNUMBER(H587),Metadata!$H$5&gt;Metadata!$G$5),MAX(Metadata!$G$5-H587,0,H587-Metadata!$H$5)/(Metadata!$H$5-Metadata!$G$5),"Missing input")</f>
        <v>0</v>
      </c>
      <c r="BC587" s="23">
        <f>IF(AND(ISNUMBER(L587),Metadata!$H$8&gt;Metadata!$G$8),MAX(Metadata!$G$8-L587,0,L587-Metadata!$H$8)/(Metadata!$H$8-Metadata!$G$8),"Missing input")</f>
        <v>0</v>
      </c>
    </row>
    <row r="588" spans="1:55" x14ac:dyDescent="0.2">
      <c r="A588" t="s">
        <v>683</v>
      </c>
      <c r="B588" t="s">
        <v>677</v>
      </c>
      <c r="C588" t="s">
        <v>466</v>
      </c>
      <c r="D588" t="s">
        <v>55</v>
      </c>
      <c r="E588" t="s">
        <v>467</v>
      </c>
      <c r="F588">
        <v>7</v>
      </c>
      <c r="G588">
        <v>42.943727860216583</v>
      </c>
      <c r="H588">
        <v>31.604415760045629</v>
      </c>
      <c r="I588">
        <v>2.8</v>
      </c>
      <c r="J588">
        <v>3</v>
      </c>
      <c r="K588">
        <v>0.54</v>
      </c>
      <c r="L588">
        <v>0.25</v>
      </c>
      <c r="N588">
        <v>125</v>
      </c>
      <c r="O588">
        <v>16</v>
      </c>
      <c r="P588">
        <v>8</v>
      </c>
      <c r="Q588">
        <v>0.53616514621265798</v>
      </c>
      <c r="R588">
        <v>4025355.613741619</v>
      </c>
      <c r="S588">
        <v>-7.3599375954555247E-3</v>
      </c>
      <c r="T588">
        <v>2231.0702303114431</v>
      </c>
      <c r="U588">
        <v>764.25751687900618</v>
      </c>
      <c r="V588">
        <v>493.5996084759829</v>
      </c>
      <c r="W588">
        <v>1.548334933325201</v>
      </c>
      <c r="X588" t="s">
        <v>57</v>
      </c>
      <c r="Y588">
        <v>8</v>
      </c>
      <c r="Z588">
        <v>1089.3699999999999</v>
      </c>
      <c r="AA588">
        <v>95.163399999999996</v>
      </c>
      <c r="AB588">
        <v>48.223799999999997</v>
      </c>
      <c r="AC588">
        <v>19.514095851416901</v>
      </c>
      <c r="AD588">
        <v>56.787225508663887</v>
      </c>
      <c r="AE588">
        <v>56.787225508663887</v>
      </c>
      <c r="AF588" t="s">
        <v>58</v>
      </c>
      <c r="AG588" t="b">
        <v>1</v>
      </c>
      <c r="AH588">
        <v>2.9100618312552071</v>
      </c>
      <c r="AI588">
        <v>1086.26</v>
      </c>
      <c r="AJ588">
        <v>91.310100000000006</v>
      </c>
      <c r="AK588">
        <v>47.635399999999997</v>
      </c>
      <c r="AL588">
        <v>19.243352505175981</v>
      </c>
      <c r="AM588">
        <v>56.540291269744088</v>
      </c>
      <c r="AN588">
        <v>56.540291269744088</v>
      </c>
      <c r="AO588" t="s">
        <v>58</v>
      </c>
      <c r="AP588" t="b">
        <v>1</v>
      </c>
      <c r="AQ588">
        <v>2.9381726107514869</v>
      </c>
      <c r="AR588">
        <v>1089.3699999999999</v>
      </c>
      <c r="AS588">
        <v>56.787225508663887</v>
      </c>
      <c r="AT588">
        <v>2.9381726107514869</v>
      </c>
      <c r="AU588" s="5">
        <v>42.420057454971925</v>
      </c>
      <c r="AV588" s="5">
        <v>60.591969617744368</v>
      </c>
      <c r="AW588" s="5">
        <v>2.1948149402313608</v>
      </c>
      <c r="AX588" s="5">
        <v>3.1350301756718366</v>
      </c>
      <c r="AY588" t="s">
        <v>59</v>
      </c>
      <c r="AZ588" t="s">
        <v>60</v>
      </c>
      <c r="BA588" s="23">
        <f t="shared" si="9"/>
        <v>0</v>
      </c>
      <c r="BB588" s="23">
        <f>IF(AND(ISNUMBER(H588),Metadata!$H$5&gt;Metadata!$G$5),MAX(Metadata!$G$5-H588,0,H588-Metadata!$H$5)/(Metadata!$H$5-Metadata!$G$5),"Missing input")</f>
        <v>0</v>
      </c>
      <c r="BC588" s="23">
        <f>IF(AND(ISNUMBER(L588),Metadata!$H$8&gt;Metadata!$G$8),MAX(Metadata!$G$8-L588,0,L588-Metadata!$H$8)/(Metadata!$H$8-Metadata!$G$8),"Missing input")</f>
        <v>0</v>
      </c>
    </row>
    <row r="589" spans="1:55" x14ac:dyDescent="0.2">
      <c r="A589" t="s">
        <v>684</v>
      </c>
      <c r="B589" t="s">
        <v>677</v>
      </c>
      <c r="C589" t="s">
        <v>466</v>
      </c>
      <c r="D589" t="s">
        <v>55</v>
      </c>
      <c r="E589" t="s">
        <v>467</v>
      </c>
      <c r="F589">
        <v>8</v>
      </c>
      <c r="G589">
        <v>29.155454969686971</v>
      </c>
      <c r="H589">
        <v>7.3398505058277053</v>
      </c>
      <c r="I589">
        <v>2.8</v>
      </c>
      <c r="J589">
        <v>3</v>
      </c>
      <c r="K589">
        <v>0.54</v>
      </c>
      <c r="L589">
        <v>0.25</v>
      </c>
      <c r="N589">
        <v>125</v>
      </c>
      <c r="O589">
        <v>16</v>
      </c>
      <c r="P589">
        <v>8</v>
      </c>
      <c r="Q589">
        <v>0.53616514621265798</v>
      </c>
      <c r="R589">
        <v>595711.36772068124</v>
      </c>
      <c r="S589">
        <v>-3.2675249146832171E-3</v>
      </c>
      <c r="T589">
        <v>942.87123822765079</v>
      </c>
      <c r="U589">
        <v>706.7858992589853</v>
      </c>
      <c r="V589">
        <v>208.59983146629449</v>
      </c>
      <c r="W589">
        <v>3.3882381126141401</v>
      </c>
      <c r="X589" t="s">
        <v>57</v>
      </c>
      <c r="Y589">
        <v>8</v>
      </c>
      <c r="Z589">
        <v>626.66200000000003</v>
      </c>
      <c r="AA589">
        <v>95.163399999999996</v>
      </c>
      <c r="AB589">
        <v>51.296399999999998</v>
      </c>
      <c r="AC589">
        <v>18.900330607326481</v>
      </c>
      <c r="AE589">
        <v>95.163399999999996</v>
      </c>
      <c r="AF589" t="s">
        <v>62</v>
      </c>
      <c r="AG589" t="b">
        <v>0</v>
      </c>
      <c r="AH589">
        <v>5.0350124543911994</v>
      </c>
      <c r="AI589">
        <v>621.07899999999995</v>
      </c>
      <c r="AJ589">
        <v>91.310100000000006</v>
      </c>
      <c r="AK589">
        <v>76.869</v>
      </c>
      <c r="AL589">
        <v>18.354344116174261</v>
      </c>
      <c r="AN589">
        <v>91.310100000000006</v>
      </c>
      <c r="AO589" t="s">
        <v>62</v>
      </c>
      <c r="AP589" t="b">
        <v>0</v>
      </c>
      <c r="AQ589">
        <v>4.9748495191138709</v>
      </c>
      <c r="AR589">
        <v>626.66200000000003</v>
      </c>
      <c r="AS589">
        <v>95.163399999999996</v>
      </c>
      <c r="AT589">
        <v>5.0350124543911994</v>
      </c>
      <c r="AU589" s="5">
        <v>71.087059799999992</v>
      </c>
      <c r="AV589" s="5">
        <v>101.53934779999999</v>
      </c>
      <c r="AW589" s="5">
        <v>3.7611543034302257</v>
      </c>
      <c r="AX589" s="5">
        <v>5.3723582888354091</v>
      </c>
      <c r="AY589" t="s">
        <v>59</v>
      </c>
      <c r="AZ589" t="s">
        <v>60</v>
      </c>
      <c r="BA589" s="23">
        <f t="shared" si="9"/>
        <v>0</v>
      </c>
      <c r="BB589" s="23">
        <f>IF(AND(ISNUMBER(H589),Metadata!$H$5&gt;Metadata!$G$5),MAX(Metadata!$G$5-H589,0,H589-Metadata!$H$5)/(Metadata!$H$5-Metadata!$G$5),"Missing input")</f>
        <v>0</v>
      </c>
      <c r="BC589" s="23">
        <f>IF(AND(ISNUMBER(L589),Metadata!$H$8&gt;Metadata!$G$8),MAX(Metadata!$G$8-L589,0,L589-Metadata!$H$8)/(Metadata!$H$8-Metadata!$G$8),"Missing input")</f>
        <v>0</v>
      </c>
    </row>
    <row r="590" spans="1:55" x14ac:dyDescent="0.2">
      <c r="A590" t="s">
        <v>685</v>
      </c>
      <c r="B590" t="s">
        <v>677</v>
      </c>
      <c r="C590" t="s">
        <v>466</v>
      </c>
      <c r="D590" t="s">
        <v>55</v>
      </c>
      <c r="E590" t="s">
        <v>467</v>
      </c>
      <c r="F590">
        <v>9</v>
      </c>
      <c r="G590">
        <v>59.748609235827082</v>
      </c>
      <c r="H590">
        <v>37.783512331141722</v>
      </c>
      <c r="I590">
        <v>2.8</v>
      </c>
      <c r="J590">
        <v>3</v>
      </c>
      <c r="K590">
        <v>0.54</v>
      </c>
      <c r="L590">
        <v>0.25</v>
      </c>
      <c r="N590">
        <v>125</v>
      </c>
      <c r="O590">
        <v>16</v>
      </c>
      <c r="P590">
        <v>8</v>
      </c>
      <c r="Q590">
        <v>0.53616514621265798</v>
      </c>
      <c r="R590">
        <v>6726258.2664913209</v>
      </c>
      <c r="S590">
        <v>-7.7539967610146948E-3</v>
      </c>
      <c r="T590">
        <v>3416.9507462022179</v>
      </c>
      <c r="U590">
        <v>822.87545002106197</v>
      </c>
      <c r="V590">
        <v>755.96255446951739</v>
      </c>
      <c r="W590">
        <v>1.0885135052734189</v>
      </c>
      <c r="X590" t="s">
        <v>87</v>
      </c>
      <c r="Y590">
        <v>8</v>
      </c>
      <c r="Z590">
        <v>1383.9</v>
      </c>
      <c r="AA590">
        <v>95.163399999999996</v>
      </c>
      <c r="AB590">
        <v>42.220700000000001</v>
      </c>
      <c r="AC590">
        <v>19.011863866396769</v>
      </c>
      <c r="AD590">
        <v>46.612739154462552</v>
      </c>
      <c r="AE590">
        <v>46.612739154462552</v>
      </c>
      <c r="AF590" t="s">
        <v>58</v>
      </c>
      <c r="AG590" t="b">
        <v>1</v>
      </c>
      <c r="AH590">
        <v>2.4517711404850728</v>
      </c>
      <c r="AI590">
        <v>1374.18</v>
      </c>
      <c r="AJ590">
        <v>91.310100000000006</v>
      </c>
      <c r="AK590">
        <v>39.358900000000013</v>
      </c>
      <c r="AL590">
        <v>18.247307894736839</v>
      </c>
      <c r="AM590">
        <v>46.234098682029831</v>
      </c>
      <c r="AN590">
        <v>46.234098682029831</v>
      </c>
      <c r="AO590" t="s">
        <v>58</v>
      </c>
      <c r="AP590" t="b">
        <v>1</v>
      </c>
      <c r="AQ590">
        <v>2.5337490301988801</v>
      </c>
      <c r="AR590">
        <v>1383.9</v>
      </c>
      <c r="AS590">
        <v>46.612739154462552</v>
      </c>
      <c r="AT590">
        <v>2.5337490301988801</v>
      </c>
      <c r="AU590" s="5" t="s">
        <v>88</v>
      </c>
      <c r="AV590" s="5" t="s">
        <v>88</v>
      </c>
      <c r="AW590" s="5" t="s">
        <v>88</v>
      </c>
      <c r="AX590" s="5" t="s">
        <v>88</v>
      </c>
      <c r="AY590" t="s">
        <v>59</v>
      </c>
      <c r="AZ590" t="s">
        <v>60</v>
      </c>
      <c r="BA590" s="23">
        <f t="shared" si="9"/>
        <v>0</v>
      </c>
      <c r="BB590" s="23">
        <f>IF(AND(ISNUMBER(H590),Metadata!$H$5&gt;Metadata!$G$5),MAX(Metadata!$G$5-H590,0,H590-Metadata!$H$5)/(Metadata!$H$5-Metadata!$G$5),"Missing input")</f>
        <v>0</v>
      </c>
      <c r="BC590" s="23">
        <f>IF(AND(ISNUMBER(L590),Metadata!$H$8&gt;Metadata!$G$8),MAX(Metadata!$G$8-L590,0,L590-Metadata!$H$8)/(Metadata!$H$8-Metadata!$G$8),"Missing input")</f>
        <v>0</v>
      </c>
    </row>
    <row r="591" spans="1:55" x14ac:dyDescent="0.2">
      <c r="A591" t="s">
        <v>686</v>
      </c>
      <c r="B591" t="s">
        <v>677</v>
      </c>
      <c r="C591" t="s">
        <v>466</v>
      </c>
      <c r="D591" t="s">
        <v>55</v>
      </c>
      <c r="E591" t="s">
        <v>467</v>
      </c>
      <c r="F591">
        <v>10</v>
      </c>
      <c r="G591">
        <v>34.746337553007109</v>
      </c>
      <c r="H591">
        <v>23.7414613202046</v>
      </c>
      <c r="I591">
        <v>2.8</v>
      </c>
      <c r="J591">
        <v>3</v>
      </c>
      <c r="K591">
        <v>0.54</v>
      </c>
      <c r="L591">
        <v>0.25</v>
      </c>
      <c r="N591">
        <v>125</v>
      </c>
      <c r="O591">
        <v>16</v>
      </c>
      <c r="P591">
        <v>8</v>
      </c>
      <c r="Q591">
        <v>0.53616514621265798</v>
      </c>
      <c r="R591">
        <v>2428507.8121004719</v>
      </c>
      <c r="S591">
        <v>-6.3710846503607496E-3</v>
      </c>
      <c r="T591">
        <v>1578.138911364917</v>
      </c>
      <c r="U591">
        <v>731.44834288856589</v>
      </c>
      <c r="V591">
        <v>349.1457768506454</v>
      </c>
      <c r="W591">
        <v>2.0949654596608762</v>
      </c>
      <c r="X591" t="s">
        <v>57</v>
      </c>
      <c r="Y591">
        <v>8</v>
      </c>
      <c r="Z591">
        <v>902.39400000000001</v>
      </c>
      <c r="AA591">
        <v>95.163399999999996</v>
      </c>
      <c r="AB591">
        <v>51.296399999999998</v>
      </c>
      <c r="AC591">
        <v>19.775354187335861</v>
      </c>
      <c r="AD591">
        <v>77.923593397855896</v>
      </c>
      <c r="AE591">
        <v>77.923593397855896</v>
      </c>
      <c r="AF591" t="s">
        <v>58</v>
      </c>
      <c r="AG591" t="b">
        <v>1</v>
      </c>
      <c r="AH591">
        <v>3.9404398353460679</v>
      </c>
      <c r="AI591">
        <v>896.95799999999997</v>
      </c>
      <c r="AJ591">
        <v>91.310100000000006</v>
      </c>
      <c r="AK591">
        <v>51.757599999999996</v>
      </c>
      <c r="AL591">
        <v>19.485979810171081</v>
      </c>
      <c r="AM591">
        <v>78.47023350250258</v>
      </c>
      <c r="AN591">
        <v>78.47023350250258</v>
      </c>
      <c r="AO591" t="s">
        <v>58</v>
      </c>
      <c r="AP591" t="b">
        <v>1</v>
      </c>
      <c r="AQ591">
        <v>4.0270098946496677</v>
      </c>
      <c r="AR591">
        <v>902.39400000000001</v>
      </c>
      <c r="AS591">
        <v>78.47023350250258</v>
      </c>
      <c r="AT591">
        <v>4.0270098946496677</v>
      </c>
      <c r="AU591" s="5">
        <v>58.617264426369424</v>
      </c>
      <c r="AV591" s="5">
        <v>83.727739147170254</v>
      </c>
      <c r="AW591" s="5">
        <v>3.0081763913033019</v>
      </c>
      <c r="AX591" s="5">
        <v>4.2968195575911956</v>
      </c>
      <c r="AY591" t="s">
        <v>59</v>
      </c>
      <c r="AZ591" t="s">
        <v>60</v>
      </c>
      <c r="BA591" s="23">
        <f t="shared" si="9"/>
        <v>0</v>
      </c>
      <c r="BB591" s="23">
        <f>IF(AND(ISNUMBER(H591),Metadata!$H$5&gt;Metadata!$G$5),MAX(Metadata!$G$5-H591,0,H591-Metadata!$H$5)/(Metadata!$H$5-Metadata!$G$5),"Missing input")</f>
        <v>0</v>
      </c>
      <c r="BC591" s="23">
        <f>IF(AND(ISNUMBER(L591),Metadata!$H$8&gt;Metadata!$G$8),MAX(Metadata!$G$8-L591,0,L591-Metadata!$H$8)/(Metadata!$H$8-Metadata!$G$8),"Missing input")</f>
        <v>0</v>
      </c>
    </row>
    <row r="592" spans="1:55" x14ac:dyDescent="0.2">
      <c r="A592" t="s">
        <v>687</v>
      </c>
      <c r="B592" t="s">
        <v>677</v>
      </c>
      <c r="C592" t="s">
        <v>466</v>
      </c>
      <c r="D592" t="s">
        <v>55</v>
      </c>
      <c r="E592" t="s">
        <v>467</v>
      </c>
      <c r="F592">
        <v>11</v>
      </c>
      <c r="G592">
        <v>24.502161634428251</v>
      </c>
      <c r="H592">
        <v>33.048591474592847</v>
      </c>
      <c r="I592">
        <v>2.8</v>
      </c>
      <c r="J592">
        <v>3</v>
      </c>
      <c r="K592">
        <v>0.54</v>
      </c>
      <c r="L592">
        <v>0.25</v>
      </c>
      <c r="N592">
        <v>125</v>
      </c>
      <c r="O592">
        <v>16</v>
      </c>
      <c r="P592">
        <v>8</v>
      </c>
      <c r="Q592">
        <v>0.53616514621265798</v>
      </c>
      <c r="R592">
        <v>2383007.1153019848</v>
      </c>
      <c r="S592">
        <v>-7.4813592746877794E-3</v>
      </c>
      <c r="T592">
        <v>1597.4135090131581</v>
      </c>
      <c r="U592">
        <v>684.38581388777777</v>
      </c>
      <c r="V592">
        <v>353.41006836574297</v>
      </c>
      <c r="W592">
        <v>1.936520419614953</v>
      </c>
      <c r="X592" t="s">
        <v>57</v>
      </c>
      <c r="Y592">
        <v>8</v>
      </c>
      <c r="Z592">
        <v>820.49900000000002</v>
      </c>
      <c r="AA592">
        <v>95.163399999999996</v>
      </c>
      <c r="AB592">
        <v>47.882399999999997</v>
      </c>
      <c r="AC592">
        <v>20.4226707636656</v>
      </c>
      <c r="AD592">
        <v>61.402938552173907</v>
      </c>
      <c r="AE592">
        <v>61.402938552173907</v>
      </c>
      <c r="AF592" t="s">
        <v>58</v>
      </c>
      <c r="AG592" t="b">
        <v>1</v>
      </c>
      <c r="AH592">
        <v>3.0066066903167812</v>
      </c>
      <c r="AI592">
        <v>817.01700000000005</v>
      </c>
      <c r="AJ592">
        <v>91.310100000000006</v>
      </c>
      <c r="AK592">
        <v>46.948399999999999</v>
      </c>
      <c r="AL592">
        <v>20.171255939190939</v>
      </c>
      <c r="AM592">
        <v>60.988405921275039</v>
      </c>
      <c r="AN592">
        <v>60.988405921275039</v>
      </c>
      <c r="AO592" t="s">
        <v>58</v>
      </c>
      <c r="AP592" t="b">
        <v>1</v>
      </c>
      <c r="AQ592">
        <v>3.0235304189849699</v>
      </c>
      <c r="AR592">
        <v>820.49900000000002</v>
      </c>
      <c r="AS592">
        <v>61.402938552173907</v>
      </c>
      <c r="AT592">
        <v>3.0235304189849699</v>
      </c>
      <c r="AU592" s="5">
        <v>45.867995098473905</v>
      </c>
      <c r="AV592" s="5">
        <v>65.516935435169557</v>
      </c>
      <c r="AW592" s="5">
        <v>2.2585772229817724</v>
      </c>
      <c r="AX592" s="5">
        <v>3.2261069570569627</v>
      </c>
      <c r="AY592" t="s">
        <v>59</v>
      </c>
      <c r="AZ592" t="s">
        <v>60</v>
      </c>
      <c r="BA592" s="23">
        <f t="shared" si="9"/>
        <v>0</v>
      </c>
      <c r="BB592" s="23">
        <f>IF(AND(ISNUMBER(H592),Metadata!$H$5&gt;Metadata!$G$5),MAX(Metadata!$G$5-H592,0,H592-Metadata!$H$5)/(Metadata!$H$5-Metadata!$G$5),"Missing input")</f>
        <v>0</v>
      </c>
      <c r="BC592" s="23">
        <f>IF(AND(ISNUMBER(L592),Metadata!$H$8&gt;Metadata!$G$8),MAX(Metadata!$G$8-L592,0,L592-Metadata!$H$8)/(Metadata!$H$8-Metadata!$G$8),"Missing input")</f>
        <v>0</v>
      </c>
    </row>
    <row r="593" spans="1:55" x14ac:dyDescent="0.2">
      <c r="A593" t="s">
        <v>688</v>
      </c>
      <c r="B593" t="s">
        <v>677</v>
      </c>
      <c r="C593" t="s">
        <v>466</v>
      </c>
      <c r="D593" t="s">
        <v>55</v>
      </c>
      <c r="E593" t="s">
        <v>467</v>
      </c>
      <c r="F593">
        <v>12</v>
      </c>
      <c r="G593">
        <v>56.241153781572699</v>
      </c>
      <c r="H593">
        <v>14.78764467513273</v>
      </c>
      <c r="I593">
        <v>2.8</v>
      </c>
      <c r="J593">
        <v>3</v>
      </c>
      <c r="K593">
        <v>0.54</v>
      </c>
      <c r="L593">
        <v>0.25</v>
      </c>
      <c r="N593">
        <v>125</v>
      </c>
      <c r="O593">
        <v>16</v>
      </c>
      <c r="P593">
        <v>8</v>
      </c>
      <c r="Q593">
        <v>0.53616514621265798</v>
      </c>
      <c r="R593">
        <v>2448743.9197241841</v>
      </c>
      <c r="S593">
        <v>-4.7150172158571674E-3</v>
      </c>
      <c r="T593">
        <v>1533.5691995196571</v>
      </c>
      <c r="U593">
        <v>811.40111588676484</v>
      </c>
      <c r="V593">
        <v>339.28522113266757</v>
      </c>
      <c r="W593">
        <v>2.3915015018278392</v>
      </c>
      <c r="X593" t="s">
        <v>57</v>
      </c>
      <c r="Y593">
        <v>8</v>
      </c>
      <c r="Z593">
        <v>980.49099999999999</v>
      </c>
      <c r="AA593">
        <v>94.745899999999992</v>
      </c>
      <c r="AB593">
        <v>65.006200000000007</v>
      </c>
      <c r="AC593">
        <v>18.00670218955073</v>
      </c>
      <c r="AD593">
        <v>77.858441792904898</v>
      </c>
      <c r="AE593">
        <v>77.858441792904898</v>
      </c>
      <c r="AF593" t="s">
        <v>58</v>
      </c>
      <c r="AG593" t="b">
        <v>1</v>
      </c>
      <c r="AH593">
        <v>4.3238590261178453</v>
      </c>
      <c r="AI593">
        <v>975.78899999999999</v>
      </c>
      <c r="AJ593">
        <v>91.122100000000003</v>
      </c>
      <c r="AK593">
        <v>64.811499999999995</v>
      </c>
      <c r="AL593">
        <v>17.672960564727202</v>
      </c>
      <c r="AN593">
        <v>91.122100000000003</v>
      </c>
      <c r="AO593" t="s">
        <v>62</v>
      </c>
      <c r="AP593" t="b">
        <v>0</v>
      </c>
      <c r="AQ593">
        <v>5.1560178424132959</v>
      </c>
      <c r="AR593">
        <v>980.49099999999999</v>
      </c>
      <c r="AS593">
        <v>91.122100000000003</v>
      </c>
      <c r="AT593">
        <v>5.1560178424132959</v>
      </c>
      <c r="AU593" s="5">
        <v>68.0682087</v>
      </c>
      <c r="AV593" s="5">
        <v>97.227280699999994</v>
      </c>
      <c r="AW593" s="5">
        <v>3.8515453282827319</v>
      </c>
      <c r="AX593" s="5">
        <v>5.5014710378549863</v>
      </c>
      <c r="AY593" t="s">
        <v>59</v>
      </c>
      <c r="AZ593" t="s">
        <v>60</v>
      </c>
      <c r="BA593" s="23">
        <f t="shared" si="9"/>
        <v>0</v>
      </c>
      <c r="BB593" s="23">
        <f>IF(AND(ISNUMBER(H593),Metadata!$H$5&gt;Metadata!$G$5),MAX(Metadata!$G$5-H593,0,H593-Metadata!$H$5)/(Metadata!$H$5-Metadata!$G$5),"Missing input")</f>
        <v>0</v>
      </c>
      <c r="BC593" s="23">
        <f>IF(AND(ISNUMBER(L593),Metadata!$H$8&gt;Metadata!$G$8),MAX(Metadata!$G$8-L593,0,L593-Metadata!$H$8)/(Metadata!$H$8-Metadata!$G$8),"Missing input")</f>
        <v>0</v>
      </c>
    </row>
    <row r="594" spans="1:55" x14ac:dyDescent="0.2">
      <c r="A594" t="s">
        <v>689</v>
      </c>
      <c r="B594" t="s">
        <v>677</v>
      </c>
      <c r="C594" t="s">
        <v>466</v>
      </c>
      <c r="D594" t="s">
        <v>55</v>
      </c>
      <c r="E594" t="s">
        <v>467</v>
      </c>
      <c r="F594">
        <v>13</v>
      </c>
      <c r="G594">
        <v>49.119901382435643</v>
      </c>
      <c r="H594">
        <v>22.54933477691009</v>
      </c>
      <c r="I594">
        <v>2.8</v>
      </c>
      <c r="J594">
        <v>3</v>
      </c>
      <c r="K594">
        <v>0.54</v>
      </c>
      <c r="L594">
        <v>0.25</v>
      </c>
      <c r="N594">
        <v>125</v>
      </c>
      <c r="O594">
        <v>16</v>
      </c>
      <c r="P594">
        <v>8</v>
      </c>
      <c r="Q594">
        <v>0.53616514621265798</v>
      </c>
      <c r="R594">
        <v>3276584.6264440492</v>
      </c>
      <c r="S594">
        <v>-6.1758100677133899E-3</v>
      </c>
      <c r="T594">
        <v>1881.6212465853309</v>
      </c>
      <c r="U594">
        <v>786.94653369120795</v>
      </c>
      <c r="V594">
        <v>416.2878864126838</v>
      </c>
      <c r="W594">
        <v>1.890390182795457</v>
      </c>
      <c r="X594" t="s">
        <v>57</v>
      </c>
      <c r="Y594">
        <v>8</v>
      </c>
      <c r="Z594">
        <v>1065.32</v>
      </c>
      <c r="AA594">
        <v>95.163399999999996</v>
      </c>
      <c r="AB594">
        <v>51.296399999999998</v>
      </c>
      <c r="AC594">
        <v>19.073101822323459</v>
      </c>
      <c r="AD594">
        <v>51.491880307912638</v>
      </c>
      <c r="AE594">
        <v>51.491880307912638</v>
      </c>
      <c r="AF594" t="s">
        <v>58</v>
      </c>
      <c r="AG594" t="b">
        <v>1</v>
      </c>
      <c r="AH594">
        <v>2.6997119182599718</v>
      </c>
      <c r="AI594">
        <v>1040.69</v>
      </c>
      <c r="AJ594">
        <v>91.310100000000006</v>
      </c>
      <c r="AK594">
        <v>39.358900000000013</v>
      </c>
      <c r="AL594">
        <v>18.19383270971635</v>
      </c>
      <c r="AM594">
        <v>40.248828688747373</v>
      </c>
      <c r="AN594">
        <v>40.248828688747373</v>
      </c>
      <c r="AO594" t="s">
        <v>58</v>
      </c>
      <c r="AP594" t="b">
        <v>1</v>
      </c>
      <c r="AQ594">
        <v>2.212223742568141</v>
      </c>
      <c r="AR594">
        <v>1065.32</v>
      </c>
      <c r="AS594">
        <v>51.491880307912638</v>
      </c>
      <c r="AT594">
        <v>2.6997119182599718</v>
      </c>
      <c r="AU594" s="5">
        <v>38.46443459001074</v>
      </c>
      <c r="AV594" s="5">
        <v>54.941836288542781</v>
      </c>
      <c r="AW594" s="5">
        <v>2.0166848029401989</v>
      </c>
      <c r="AX594" s="5">
        <v>2.8805926167833897</v>
      </c>
      <c r="AY594" t="s">
        <v>59</v>
      </c>
      <c r="AZ594" t="s">
        <v>60</v>
      </c>
      <c r="BA594" s="23">
        <f t="shared" si="9"/>
        <v>0</v>
      </c>
      <c r="BB594" s="23">
        <f>IF(AND(ISNUMBER(H594),Metadata!$H$5&gt;Metadata!$G$5),MAX(Metadata!$G$5-H594,0,H594-Metadata!$H$5)/(Metadata!$H$5-Metadata!$G$5),"Missing input")</f>
        <v>0</v>
      </c>
      <c r="BC594" s="23">
        <f>IF(AND(ISNUMBER(L594),Metadata!$H$8&gt;Metadata!$G$8),MAX(Metadata!$G$8-L594,0,L594-Metadata!$H$8)/(Metadata!$H$8-Metadata!$G$8),"Missing input")</f>
        <v>0</v>
      </c>
    </row>
    <row r="595" spans="1:55" x14ac:dyDescent="0.2">
      <c r="A595" t="s">
        <v>690</v>
      </c>
      <c r="B595" t="s">
        <v>677</v>
      </c>
      <c r="C595" t="s">
        <v>466</v>
      </c>
      <c r="D595" t="s">
        <v>55</v>
      </c>
      <c r="E595" t="s">
        <v>467</v>
      </c>
      <c r="F595">
        <v>14</v>
      </c>
      <c r="G595">
        <v>37.958866376576751</v>
      </c>
      <c r="H595">
        <v>9.8264864335603903</v>
      </c>
      <c r="I595">
        <v>2.8</v>
      </c>
      <c r="J595">
        <v>3</v>
      </c>
      <c r="K595">
        <v>0.54</v>
      </c>
      <c r="L595">
        <v>0.25</v>
      </c>
      <c r="N595">
        <v>125</v>
      </c>
      <c r="O595">
        <v>16</v>
      </c>
      <c r="P595">
        <v>8</v>
      </c>
      <c r="Q595">
        <v>0.53616514621265798</v>
      </c>
      <c r="R595">
        <v>1072728.181448289</v>
      </c>
      <c r="S595">
        <v>-3.7330474061044788E-3</v>
      </c>
      <c r="T595">
        <v>1079.413272875956</v>
      </c>
      <c r="U595">
        <v>744.72430032575369</v>
      </c>
      <c r="V595">
        <v>238.8082462114948</v>
      </c>
      <c r="W595">
        <v>3.1185032851261192</v>
      </c>
      <c r="X595" t="s">
        <v>57</v>
      </c>
      <c r="Y595">
        <v>8</v>
      </c>
      <c r="Z595">
        <v>722.34799999999996</v>
      </c>
      <c r="AA595">
        <v>95.163399999999996</v>
      </c>
      <c r="AB595">
        <v>76.297899999999998</v>
      </c>
      <c r="AC595">
        <v>18.326498369565211</v>
      </c>
      <c r="AE595">
        <v>95.163399999999996</v>
      </c>
      <c r="AF595" t="s">
        <v>62</v>
      </c>
      <c r="AG595" t="b">
        <v>0</v>
      </c>
      <c r="AH595">
        <v>5.192666819431131</v>
      </c>
      <c r="AI595">
        <v>719.73400000000004</v>
      </c>
      <c r="AJ595">
        <v>91.310100000000006</v>
      </c>
      <c r="AK595">
        <v>75.306200000000004</v>
      </c>
      <c r="AL595">
        <v>17.93427483261598</v>
      </c>
      <c r="AN595">
        <v>91.310100000000006</v>
      </c>
      <c r="AO595" t="s">
        <v>62</v>
      </c>
      <c r="AP595" t="b">
        <v>0</v>
      </c>
      <c r="AQ595">
        <v>5.091373967010913</v>
      </c>
      <c r="AR595">
        <v>722.34799999999996</v>
      </c>
      <c r="AS595">
        <v>95.163399999999996</v>
      </c>
      <c r="AT595">
        <v>5.192666819431131</v>
      </c>
      <c r="AU595" s="5">
        <v>71.087059799999992</v>
      </c>
      <c r="AV595" s="5">
        <v>101.53934779999999</v>
      </c>
      <c r="AW595" s="5">
        <v>3.8789221141150549</v>
      </c>
      <c r="AX595" s="5">
        <v>5.540575496333016</v>
      </c>
      <c r="AY595" t="s">
        <v>59</v>
      </c>
      <c r="AZ595" t="s">
        <v>60</v>
      </c>
      <c r="BA595" s="23">
        <f t="shared" si="9"/>
        <v>0</v>
      </c>
      <c r="BB595" s="23">
        <f>IF(AND(ISNUMBER(H595),Metadata!$H$5&gt;Metadata!$G$5),MAX(Metadata!$G$5-H595,0,H595-Metadata!$H$5)/(Metadata!$H$5-Metadata!$G$5),"Missing input")</f>
        <v>0</v>
      </c>
      <c r="BC595" s="23">
        <f>IF(AND(ISNUMBER(L595),Metadata!$H$8&gt;Metadata!$G$8),MAX(Metadata!$G$8-L595,0,L595-Metadata!$H$8)/(Metadata!$H$8-Metadata!$G$8),"Missing input")</f>
        <v>0</v>
      </c>
    </row>
    <row r="596" spans="1:55" x14ac:dyDescent="0.2">
      <c r="A596" t="s">
        <v>691</v>
      </c>
      <c r="B596" t="s">
        <v>677</v>
      </c>
      <c r="C596" t="s">
        <v>466</v>
      </c>
      <c r="D596" t="s">
        <v>55</v>
      </c>
      <c r="E596" t="s">
        <v>467</v>
      </c>
      <c r="F596">
        <v>15</v>
      </c>
      <c r="G596">
        <v>27.308053040943211</v>
      </c>
      <c r="H596">
        <v>5.2772178758296739</v>
      </c>
      <c r="I596">
        <v>2.8</v>
      </c>
      <c r="J596">
        <v>3</v>
      </c>
      <c r="K596">
        <v>0.54</v>
      </c>
      <c r="L596">
        <v>0.25</v>
      </c>
      <c r="N596">
        <v>125</v>
      </c>
      <c r="O596">
        <v>16</v>
      </c>
      <c r="P596">
        <v>8</v>
      </c>
      <c r="Q596">
        <v>0.53616514621265798</v>
      </c>
      <c r="R596">
        <v>386052.96198531118</v>
      </c>
      <c r="S596">
        <v>-2.9055532082881219E-3</v>
      </c>
      <c r="T596">
        <v>887.04591937715099</v>
      </c>
      <c r="U596">
        <v>698.12364149884274</v>
      </c>
      <c r="V596">
        <v>196.2490972073343</v>
      </c>
      <c r="W596">
        <v>3.557334282976524</v>
      </c>
      <c r="X596" t="s">
        <v>57</v>
      </c>
      <c r="Y596">
        <v>8</v>
      </c>
      <c r="Z596">
        <v>587.01400000000001</v>
      </c>
      <c r="AA596">
        <v>95.144500000000008</v>
      </c>
      <c r="AB596">
        <v>51.296399999999998</v>
      </c>
      <c r="AC596">
        <v>18.94033806651451</v>
      </c>
      <c r="AD596">
        <v>94.825922305629945</v>
      </c>
      <c r="AE596">
        <v>94.825922305629945</v>
      </c>
      <c r="AF596" t="s">
        <v>58</v>
      </c>
      <c r="AG596" t="b">
        <v>1</v>
      </c>
      <c r="AH596">
        <v>5.0065591212058163</v>
      </c>
      <c r="AI596">
        <v>579.85900000000004</v>
      </c>
      <c r="AJ596">
        <v>91.328999999999994</v>
      </c>
      <c r="AK596">
        <v>39.358900000000013</v>
      </c>
      <c r="AL596">
        <v>18.29045291593032</v>
      </c>
      <c r="AM596">
        <v>64.833856305946085</v>
      </c>
      <c r="AN596">
        <v>64.833856305946085</v>
      </c>
      <c r="AO596" t="s">
        <v>58</v>
      </c>
      <c r="AP596" t="b">
        <v>1</v>
      </c>
      <c r="AQ596">
        <v>3.544682933984546</v>
      </c>
      <c r="AR596">
        <v>587.01400000000001</v>
      </c>
      <c r="AS596">
        <v>94.825922305629945</v>
      </c>
      <c r="AT596">
        <v>5.0065591212058163</v>
      </c>
      <c r="AU596" s="5">
        <v>70.834963962305565</v>
      </c>
      <c r="AV596" s="5">
        <v>101.17925910010715</v>
      </c>
      <c r="AW596" s="5">
        <v>3.7398996635407449</v>
      </c>
      <c r="AX596" s="5">
        <v>5.3419985823266058</v>
      </c>
      <c r="AY596" t="s">
        <v>59</v>
      </c>
      <c r="AZ596" t="s">
        <v>60</v>
      </c>
      <c r="BA596" s="23">
        <f t="shared" si="9"/>
        <v>0</v>
      </c>
      <c r="BB596" s="23">
        <f>IF(AND(ISNUMBER(H596),Metadata!$H$5&gt;Metadata!$G$5),MAX(Metadata!$G$5-H596,0,H596-Metadata!$H$5)/(Metadata!$H$5-Metadata!$G$5),"Missing input")</f>
        <v>0</v>
      </c>
      <c r="BC596" s="23">
        <f>IF(AND(ISNUMBER(L596),Metadata!$H$8&gt;Metadata!$G$8),MAX(Metadata!$G$8-L596,0,L596-Metadata!$H$8)/(Metadata!$H$8-Metadata!$G$8),"Missing input")</f>
        <v>0</v>
      </c>
    </row>
    <row r="597" spans="1:55" x14ac:dyDescent="0.2">
      <c r="A597" t="s">
        <v>692</v>
      </c>
      <c r="B597" t="s">
        <v>677</v>
      </c>
      <c r="C597" t="s">
        <v>466</v>
      </c>
      <c r="D597" t="s">
        <v>55</v>
      </c>
      <c r="E597" t="s">
        <v>467</v>
      </c>
      <c r="F597">
        <v>16</v>
      </c>
      <c r="G597">
        <v>31.1252119640606</v>
      </c>
      <c r="H597">
        <v>39.5069074866867</v>
      </c>
      <c r="I597">
        <v>2.8</v>
      </c>
      <c r="J597">
        <v>3</v>
      </c>
      <c r="K597">
        <v>0.54</v>
      </c>
      <c r="L597">
        <v>0.25</v>
      </c>
      <c r="N597">
        <v>125</v>
      </c>
      <c r="O597">
        <v>16</v>
      </c>
      <c r="P597">
        <v>8</v>
      </c>
      <c r="Q597">
        <v>0.53616514621265798</v>
      </c>
      <c r="R597">
        <v>3642703.933702969</v>
      </c>
      <c r="S597">
        <v>-7.8087764588957104E-3</v>
      </c>
      <c r="T597">
        <v>2118.3547997114169</v>
      </c>
      <c r="U597">
        <v>715.72465594585606</v>
      </c>
      <c r="V597">
        <v>468.66256630783562</v>
      </c>
      <c r="W597">
        <v>1.5271641206260551</v>
      </c>
      <c r="X597" t="s">
        <v>57</v>
      </c>
      <c r="Y597">
        <v>8</v>
      </c>
      <c r="Z597">
        <v>940.39599999999996</v>
      </c>
      <c r="AA597">
        <v>95.163399999999996</v>
      </c>
      <c r="AB597">
        <v>41.921900000000001</v>
      </c>
      <c r="AC597">
        <v>19.355279960373618</v>
      </c>
      <c r="AD597">
        <v>49.95637166015625</v>
      </c>
      <c r="AE597">
        <v>49.95637166015625</v>
      </c>
      <c r="AF597" t="s">
        <v>58</v>
      </c>
      <c r="AG597" t="b">
        <v>1</v>
      </c>
      <c r="AH597">
        <v>2.5810203604614732</v>
      </c>
      <c r="AI597">
        <v>937.95600000000002</v>
      </c>
      <c r="AJ597">
        <v>91.310100000000006</v>
      </c>
      <c r="AK597">
        <v>39.358900000000013</v>
      </c>
      <c r="AL597">
        <v>19.008379844429189</v>
      </c>
      <c r="AM597">
        <v>48.956136232945077</v>
      </c>
      <c r="AN597">
        <v>48.956136232945077</v>
      </c>
      <c r="AO597" t="s">
        <v>58</v>
      </c>
      <c r="AP597" t="b">
        <v>1</v>
      </c>
      <c r="AQ597">
        <v>2.5755028378861402</v>
      </c>
      <c r="AR597">
        <v>940.39599999999996</v>
      </c>
      <c r="AS597">
        <v>49.95637166015625</v>
      </c>
      <c r="AT597">
        <v>2.5810203604614732</v>
      </c>
      <c r="AU597" s="5">
        <v>37.317409630136716</v>
      </c>
      <c r="AV597" s="5">
        <v>53.303448561386716</v>
      </c>
      <c r="AW597" s="5">
        <v>1.9280222092647206</v>
      </c>
      <c r="AX597" s="5">
        <v>2.7539487246123917</v>
      </c>
      <c r="AY597" t="s">
        <v>59</v>
      </c>
      <c r="AZ597" t="s">
        <v>60</v>
      </c>
      <c r="BA597" s="23">
        <f t="shared" si="9"/>
        <v>0</v>
      </c>
      <c r="BB597" s="23">
        <f>IF(AND(ISNUMBER(H597),Metadata!$H$5&gt;Metadata!$G$5),MAX(Metadata!$G$5-H597,0,H597-Metadata!$H$5)/(Metadata!$H$5-Metadata!$G$5),"Missing input")</f>
        <v>0</v>
      </c>
      <c r="BC597" s="23">
        <f>IF(AND(ISNUMBER(L597),Metadata!$H$8&gt;Metadata!$G$8),MAX(Metadata!$G$8-L597,0,L597-Metadata!$H$8)/(Metadata!$H$8-Metadata!$G$8),"Missing input")</f>
        <v>0</v>
      </c>
    </row>
    <row r="598" spans="1:55" x14ac:dyDescent="0.2">
      <c r="A598" t="s">
        <v>693</v>
      </c>
      <c r="B598" t="s">
        <v>677</v>
      </c>
      <c r="C598" t="s">
        <v>466</v>
      </c>
      <c r="D598" t="s">
        <v>55</v>
      </c>
      <c r="E598" t="s">
        <v>467</v>
      </c>
      <c r="F598">
        <v>17</v>
      </c>
      <c r="G598">
        <v>46.390186033042063</v>
      </c>
      <c r="H598">
        <v>16.21387510983789</v>
      </c>
      <c r="I598">
        <v>2.8</v>
      </c>
      <c r="J598">
        <v>3</v>
      </c>
      <c r="K598">
        <v>0.54</v>
      </c>
      <c r="L598">
        <v>0.25</v>
      </c>
      <c r="N598">
        <v>125</v>
      </c>
      <c r="O598">
        <v>16</v>
      </c>
      <c r="P598">
        <v>8</v>
      </c>
      <c r="Q598">
        <v>0.53616514621265798</v>
      </c>
      <c r="R598">
        <v>2210215.3729856689</v>
      </c>
      <c r="S598">
        <v>-4.9989946582331447E-3</v>
      </c>
      <c r="T598">
        <v>1463.191177467429</v>
      </c>
      <c r="U598">
        <v>777.10568399344538</v>
      </c>
      <c r="V598">
        <v>323.71486227155509</v>
      </c>
      <c r="W598">
        <v>2.400586981210501</v>
      </c>
      <c r="X598" t="s">
        <v>57</v>
      </c>
      <c r="Y598">
        <v>8</v>
      </c>
      <c r="Z598">
        <v>919.827</v>
      </c>
      <c r="AA598">
        <v>95.163399999999996</v>
      </c>
      <c r="AB598">
        <v>65.006200000000007</v>
      </c>
      <c r="AC598">
        <v>18.535859418635869</v>
      </c>
      <c r="AE598">
        <v>95.163399999999996</v>
      </c>
      <c r="AF598" t="s">
        <v>62</v>
      </c>
      <c r="AG598" t="b">
        <v>0</v>
      </c>
      <c r="AH598">
        <v>5.1340160631733713</v>
      </c>
      <c r="AI598">
        <v>915.00599999999997</v>
      </c>
      <c r="AJ598">
        <v>91.310100000000006</v>
      </c>
      <c r="AK598">
        <v>64.811499999999995</v>
      </c>
      <c r="AL598">
        <v>18.211813557133631</v>
      </c>
      <c r="AN598">
        <v>91.310100000000006</v>
      </c>
      <c r="AO598" t="s">
        <v>62</v>
      </c>
      <c r="AP598" t="b">
        <v>0</v>
      </c>
      <c r="AQ598">
        <v>5.0137840316421149</v>
      </c>
      <c r="AR598">
        <v>919.827</v>
      </c>
      <c r="AS598">
        <v>95.163399999999996</v>
      </c>
      <c r="AT598">
        <v>5.1340160631733713</v>
      </c>
      <c r="AU598" s="5">
        <v>71.087059799999992</v>
      </c>
      <c r="AV598" s="5">
        <v>101.53934779999999</v>
      </c>
      <c r="AW598" s="5">
        <v>3.8351099991905082</v>
      </c>
      <c r="AX598" s="5">
        <v>5.4779951394059871</v>
      </c>
      <c r="AY598" t="s">
        <v>59</v>
      </c>
      <c r="AZ598" t="s">
        <v>60</v>
      </c>
      <c r="BA598" s="23">
        <f t="shared" si="9"/>
        <v>0</v>
      </c>
      <c r="BB598" s="23">
        <f>IF(AND(ISNUMBER(H598),Metadata!$H$5&gt;Metadata!$G$5),MAX(Metadata!$G$5-H598,0,H598-Metadata!$H$5)/(Metadata!$H$5-Metadata!$G$5),"Missing input")</f>
        <v>0</v>
      </c>
      <c r="BC598" s="23">
        <f>IF(AND(ISNUMBER(L598),Metadata!$H$8&gt;Metadata!$G$8),MAX(Metadata!$G$8-L598,0,L598-Metadata!$H$8)/(Metadata!$H$8-Metadata!$G$8),"Missing input")</f>
        <v>0</v>
      </c>
    </row>
    <row r="599" spans="1:55" x14ac:dyDescent="0.2">
      <c r="A599" t="s">
        <v>694</v>
      </c>
      <c r="B599" t="s">
        <v>677</v>
      </c>
      <c r="C599" t="s">
        <v>466</v>
      </c>
      <c r="D599" t="s">
        <v>55</v>
      </c>
      <c r="E599" t="s">
        <v>467</v>
      </c>
      <c r="F599">
        <v>18</v>
      </c>
      <c r="G599">
        <v>54.165408264435399</v>
      </c>
      <c r="H599">
        <v>18.25275816413232</v>
      </c>
      <c r="I599">
        <v>2.8</v>
      </c>
      <c r="J599">
        <v>3</v>
      </c>
      <c r="K599">
        <v>0.54</v>
      </c>
      <c r="L599">
        <v>0.25</v>
      </c>
      <c r="N599">
        <v>125</v>
      </c>
      <c r="O599">
        <v>16</v>
      </c>
      <c r="P599">
        <v>8</v>
      </c>
      <c r="Q599">
        <v>0.53616514621265798</v>
      </c>
      <c r="R599">
        <v>2919725.6187367002</v>
      </c>
      <c r="S599">
        <v>-5.3971923689377036E-3</v>
      </c>
      <c r="T599">
        <v>1721.29299133836</v>
      </c>
      <c r="U599">
        <v>804.44140245145684</v>
      </c>
      <c r="V599">
        <v>380.8170334819381</v>
      </c>
      <c r="W599">
        <v>2.1124091931922759</v>
      </c>
      <c r="X599" t="s">
        <v>57</v>
      </c>
      <c r="Y599">
        <v>8</v>
      </c>
      <c r="Z599">
        <v>1043.33</v>
      </c>
      <c r="AA599">
        <v>95.163399999999996</v>
      </c>
      <c r="AB599">
        <v>65.006200000000007</v>
      </c>
      <c r="AC599">
        <v>18.540372493157498</v>
      </c>
      <c r="AE599">
        <v>95.163399999999996</v>
      </c>
      <c r="AF599" t="s">
        <v>62</v>
      </c>
      <c r="AG599" t="b">
        <v>0</v>
      </c>
      <c r="AH599">
        <v>5.1327663473385421</v>
      </c>
      <c r="AI599">
        <v>1038.3699999999999</v>
      </c>
      <c r="AJ599">
        <v>91.310100000000006</v>
      </c>
      <c r="AK599">
        <v>64.811499999999995</v>
      </c>
      <c r="AL599">
        <v>18.285184621482362</v>
      </c>
      <c r="AN599">
        <v>91.310100000000006</v>
      </c>
      <c r="AO599" t="s">
        <v>62</v>
      </c>
      <c r="AP599" t="b">
        <v>0</v>
      </c>
      <c r="AQ599">
        <v>4.9936657403351719</v>
      </c>
      <c r="AR599">
        <v>1043.33</v>
      </c>
      <c r="AS599">
        <v>95.163399999999996</v>
      </c>
      <c r="AT599">
        <v>5.1327663473385421</v>
      </c>
      <c r="AU599" s="5">
        <v>71.087059799999992</v>
      </c>
      <c r="AV599" s="5">
        <v>101.53934779999999</v>
      </c>
      <c r="AW599" s="5">
        <v>3.8341764614618907</v>
      </c>
      <c r="AX599" s="5">
        <v>5.4766616926102243</v>
      </c>
      <c r="AY599" t="s">
        <v>59</v>
      </c>
      <c r="AZ599" t="s">
        <v>60</v>
      </c>
      <c r="BA599" s="23">
        <f t="shared" si="9"/>
        <v>0</v>
      </c>
      <c r="BB599" s="23">
        <f>IF(AND(ISNUMBER(H599),Metadata!$H$5&gt;Metadata!$G$5),MAX(Metadata!$G$5-H599,0,H599-Metadata!$H$5)/(Metadata!$H$5-Metadata!$G$5),"Missing input")</f>
        <v>0</v>
      </c>
      <c r="BC599" s="23">
        <f>IF(AND(ISNUMBER(L599),Metadata!$H$8&gt;Metadata!$G$8),MAX(Metadata!$G$8-L599,0,L599-Metadata!$H$8)/(Metadata!$H$8-Metadata!$G$8),"Missing input")</f>
        <v>0</v>
      </c>
    </row>
    <row r="600" spans="1:55" x14ac:dyDescent="0.2">
      <c r="A600" t="s">
        <v>695</v>
      </c>
      <c r="B600" t="s">
        <v>677</v>
      </c>
      <c r="C600" t="s">
        <v>466</v>
      </c>
      <c r="D600" t="s">
        <v>55</v>
      </c>
      <c r="E600" t="s">
        <v>467</v>
      </c>
      <c r="F600">
        <v>19</v>
      </c>
      <c r="G600">
        <v>21.707483118551171</v>
      </c>
      <c r="H600">
        <v>43.497365085878002</v>
      </c>
      <c r="I600">
        <v>2.8</v>
      </c>
      <c r="J600">
        <v>3</v>
      </c>
      <c r="K600">
        <v>0.54</v>
      </c>
      <c r="L600">
        <v>0.25</v>
      </c>
      <c r="N600">
        <v>125</v>
      </c>
      <c r="O600">
        <v>16</v>
      </c>
      <c r="P600">
        <v>8</v>
      </c>
      <c r="Q600">
        <v>0.53616514621265798</v>
      </c>
      <c r="R600">
        <v>2786376.2799094608</v>
      </c>
      <c r="S600">
        <v>-7.8543536278061332E-3</v>
      </c>
      <c r="T600">
        <v>1787.0360398377629</v>
      </c>
      <c r="U600">
        <v>669.89609780516332</v>
      </c>
      <c r="V600">
        <v>395.3619557163193</v>
      </c>
      <c r="W600">
        <v>1.694386847594987</v>
      </c>
      <c r="X600" t="s">
        <v>57</v>
      </c>
      <c r="Y600">
        <v>8</v>
      </c>
      <c r="Z600">
        <v>797.70899999999995</v>
      </c>
      <c r="AA600">
        <v>95.163399999999996</v>
      </c>
      <c r="AB600">
        <v>37.809100000000001</v>
      </c>
      <c r="AC600">
        <v>19.862529917100129</v>
      </c>
      <c r="AD600">
        <v>49.659228448733423</v>
      </c>
      <c r="AE600">
        <v>49.659228448733423</v>
      </c>
      <c r="AF600" t="s">
        <v>58</v>
      </c>
      <c r="AG600" t="b">
        <v>1</v>
      </c>
      <c r="AH600">
        <v>2.500146187620369</v>
      </c>
      <c r="AI600">
        <v>796.50599999999997</v>
      </c>
      <c r="AJ600">
        <v>91.310100000000006</v>
      </c>
      <c r="AK600">
        <v>39.358900000000013</v>
      </c>
      <c r="AL600">
        <v>19.59893791797283</v>
      </c>
      <c r="AM600">
        <v>48.854974442778612</v>
      </c>
      <c r="AN600">
        <v>48.854974442778612</v>
      </c>
      <c r="AO600" t="s">
        <v>58</v>
      </c>
      <c r="AP600" t="b">
        <v>1</v>
      </c>
      <c r="AQ600">
        <v>2.4927358128920392</v>
      </c>
      <c r="AR600">
        <v>797.70899999999995</v>
      </c>
      <c r="AS600">
        <v>49.659228448733423</v>
      </c>
      <c r="AT600">
        <v>2.500146187620369</v>
      </c>
      <c r="AU600" s="5">
        <v>37.095443651203865</v>
      </c>
      <c r="AV600" s="5">
        <v>52.986396754798562</v>
      </c>
      <c r="AW600" s="5">
        <v>1.8676092021524155</v>
      </c>
      <c r="AX600" s="5">
        <v>2.6676559821909338</v>
      </c>
      <c r="AY600" t="s">
        <v>64</v>
      </c>
      <c r="AZ600" t="s">
        <v>7</v>
      </c>
      <c r="BA600" s="23">
        <f t="shared" si="9"/>
        <v>9.4596678167087334E-2</v>
      </c>
      <c r="BB600" s="23">
        <f>IF(AND(ISNUMBER(H600),Metadata!$H$5&gt;Metadata!$G$5),MAX(Metadata!$G$5-H600,0,H600-Metadata!$H$5)/(Metadata!$H$5-Metadata!$G$5),"Missing input")</f>
        <v>9.4596678167087334E-2</v>
      </c>
      <c r="BC600" s="23">
        <f>IF(AND(ISNUMBER(L600),Metadata!$H$8&gt;Metadata!$G$8),MAX(Metadata!$G$8-L600,0,L600-Metadata!$H$8)/(Metadata!$H$8-Metadata!$G$8),"Missing input")</f>
        <v>0</v>
      </c>
    </row>
    <row r="601" spans="1:55" x14ac:dyDescent="0.2">
      <c r="A601" t="s">
        <v>696</v>
      </c>
      <c r="B601" t="s">
        <v>677</v>
      </c>
      <c r="C601" t="s">
        <v>466</v>
      </c>
      <c r="D601" t="s">
        <v>55</v>
      </c>
      <c r="E601" t="s">
        <v>467</v>
      </c>
      <c r="F601">
        <v>20</v>
      </c>
      <c r="G601">
        <v>53.035991243371583</v>
      </c>
      <c r="H601">
        <v>30.34654288470276</v>
      </c>
      <c r="I601">
        <v>2.8</v>
      </c>
      <c r="J601">
        <v>3</v>
      </c>
      <c r="K601">
        <v>0.54</v>
      </c>
      <c r="L601">
        <v>0.25</v>
      </c>
      <c r="N601">
        <v>125</v>
      </c>
      <c r="O601">
        <v>16</v>
      </c>
      <c r="P601">
        <v>8</v>
      </c>
      <c r="Q601">
        <v>0.53616514621265798</v>
      </c>
      <c r="R601">
        <v>4782098.2730990862</v>
      </c>
      <c r="S601">
        <v>-7.2389053024682036E-3</v>
      </c>
      <c r="T601">
        <v>2528.3596098107791</v>
      </c>
      <c r="U601">
        <v>800.59853302729891</v>
      </c>
      <c r="V601">
        <v>559.37159509088042</v>
      </c>
      <c r="W601">
        <v>1.431246312922319</v>
      </c>
      <c r="X601" t="s">
        <v>57</v>
      </c>
      <c r="Y601">
        <v>8</v>
      </c>
      <c r="Z601">
        <v>1227.9000000000001</v>
      </c>
      <c r="AA601">
        <v>95.163399999999996</v>
      </c>
      <c r="AB601">
        <v>49.589399999999998</v>
      </c>
      <c r="AC601">
        <v>19.40761490395742</v>
      </c>
      <c r="AD601">
        <v>57.681842587440393</v>
      </c>
      <c r="AE601">
        <v>57.681842587440393</v>
      </c>
      <c r="AF601" t="s">
        <v>58</v>
      </c>
      <c r="AG601" t="b">
        <v>1</v>
      </c>
      <c r="AH601">
        <v>2.9721242343735108</v>
      </c>
      <c r="AI601">
        <v>1223.9000000000001</v>
      </c>
      <c r="AJ601">
        <v>91.310100000000006</v>
      </c>
      <c r="AK601">
        <v>49.009500000000003</v>
      </c>
      <c r="AL601">
        <v>19.09686341053418</v>
      </c>
      <c r="AM601">
        <v>57.485924267886432</v>
      </c>
      <c r="AN601">
        <v>57.485924267886432</v>
      </c>
      <c r="AO601" t="s">
        <v>58</v>
      </c>
      <c r="AP601" t="b">
        <v>1</v>
      </c>
      <c r="AQ601">
        <v>3.0102285926272132</v>
      </c>
      <c r="AR601">
        <v>1227.9000000000001</v>
      </c>
      <c r="AS601">
        <v>57.681842587440393</v>
      </c>
      <c r="AT601">
        <v>3.0102285926272132</v>
      </c>
      <c r="AU601" s="5">
        <v>43.088336412817974</v>
      </c>
      <c r="AV601" s="5">
        <v>61.546526040798895</v>
      </c>
      <c r="AW601" s="5">
        <v>2.2486407586925283</v>
      </c>
      <c r="AX601" s="5">
        <v>3.2119139083332362</v>
      </c>
      <c r="AY601" t="s">
        <v>59</v>
      </c>
      <c r="AZ601" t="s">
        <v>60</v>
      </c>
      <c r="BA601" s="23">
        <f t="shared" si="9"/>
        <v>0</v>
      </c>
      <c r="BB601" s="23">
        <f>IF(AND(ISNUMBER(H601),Metadata!$H$5&gt;Metadata!$G$5),MAX(Metadata!$G$5-H601,0,H601-Metadata!$H$5)/(Metadata!$H$5-Metadata!$G$5),"Missing input")</f>
        <v>0</v>
      </c>
      <c r="BC601" s="23">
        <f>IF(AND(ISNUMBER(L601),Metadata!$H$8&gt;Metadata!$G$8),MAX(Metadata!$G$8-L601,0,L601-Metadata!$H$8)/(Metadata!$H$8-Metadata!$G$8),"Missing input")</f>
        <v>0</v>
      </c>
    </row>
    <row r="602" spans="1:55" x14ac:dyDescent="0.2">
      <c r="A602" t="s">
        <v>697</v>
      </c>
      <c r="B602" t="s">
        <v>698</v>
      </c>
      <c r="C602" t="s">
        <v>466</v>
      </c>
      <c r="D602" t="s">
        <v>55</v>
      </c>
      <c r="E602" t="s">
        <v>467</v>
      </c>
      <c r="F602">
        <v>1</v>
      </c>
      <c r="G602">
        <v>22.11413992487228</v>
      </c>
      <c r="H602">
        <v>28.832065765515338</v>
      </c>
      <c r="I602">
        <v>3.5</v>
      </c>
      <c r="J602">
        <v>3.2</v>
      </c>
      <c r="K602">
        <v>0.54</v>
      </c>
      <c r="L602">
        <v>0.25</v>
      </c>
      <c r="N602">
        <v>125</v>
      </c>
      <c r="O602">
        <v>18</v>
      </c>
      <c r="P602">
        <v>8</v>
      </c>
      <c r="Q602">
        <v>0.53616514621265798</v>
      </c>
      <c r="R602">
        <v>1866510.334985178</v>
      </c>
      <c r="S602">
        <v>-7.979959496755654E-3</v>
      </c>
      <c r="T602">
        <v>1600.3670721214839</v>
      </c>
      <c r="U602">
        <v>672.06023102885479</v>
      </c>
      <c r="V602">
        <v>354.0635115313018</v>
      </c>
      <c r="W602">
        <v>1.898134682453545</v>
      </c>
      <c r="X602" t="s">
        <v>57</v>
      </c>
      <c r="Y602">
        <v>8</v>
      </c>
      <c r="Z602">
        <v>860.28899999999999</v>
      </c>
      <c r="AA602">
        <v>95.163399999999996</v>
      </c>
      <c r="AB602">
        <v>51.296399999999998</v>
      </c>
      <c r="AC602">
        <v>22.416735129573169</v>
      </c>
      <c r="AD602">
        <v>78.010916022827558</v>
      </c>
      <c r="AE602">
        <v>78.010916022827558</v>
      </c>
      <c r="AF602" t="s">
        <v>58</v>
      </c>
      <c r="AG602" t="b">
        <v>1</v>
      </c>
      <c r="AH602">
        <v>3.48003023508593</v>
      </c>
      <c r="AI602">
        <v>856.86199999999997</v>
      </c>
      <c r="AJ602">
        <v>91.310100000000006</v>
      </c>
      <c r="AK602">
        <v>51.757599999999996</v>
      </c>
      <c r="AL602">
        <v>22.263559690394931</v>
      </c>
      <c r="AM602">
        <v>78.552057763590042</v>
      </c>
      <c r="AN602">
        <v>78.552057763590042</v>
      </c>
      <c r="AO602" t="s">
        <v>58</v>
      </c>
      <c r="AP602" t="b">
        <v>1</v>
      </c>
      <c r="AQ602">
        <v>3.5282793432839679</v>
      </c>
      <c r="AR602">
        <v>860.28899999999999</v>
      </c>
      <c r="AS602">
        <v>78.552057763590042</v>
      </c>
      <c r="AT602">
        <v>3.5282793432839679</v>
      </c>
      <c r="AU602" s="5">
        <v>58.678387149401765</v>
      </c>
      <c r="AV602" s="5">
        <v>83.815045633750572</v>
      </c>
      <c r="AW602" s="5">
        <v>2.635624669433124</v>
      </c>
      <c r="AX602" s="5">
        <v>3.7646740592839936</v>
      </c>
      <c r="AY602" t="s">
        <v>59</v>
      </c>
      <c r="AZ602" t="s">
        <v>60</v>
      </c>
      <c r="BA602" s="23">
        <f t="shared" si="9"/>
        <v>0</v>
      </c>
      <c r="BB602" s="23">
        <f>IF(AND(ISNUMBER(H602),Metadata!$H$5&gt;Metadata!$G$5),MAX(Metadata!$G$5-H602,0,H602-Metadata!$H$5)/(Metadata!$H$5-Metadata!$G$5),"Missing input")</f>
        <v>0</v>
      </c>
      <c r="BC602" s="23">
        <f>IF(AND(ISNUMBER(L602),Metadata!$H$8&gt;Metadata!$G$8),MAX(Metadata!$G$8-L602,0,L602-Metadata!$H$8)/(Metadata!$H$8-Metadata!$G$8),"Missing input")</f>
        <v>0</v>
      </c>
    </row>
    <row r="603" spans="1:55" x14ac:dyDescent="0.2">
      <c r="A603" t="s">
        <v>699</v>
      </c>
      <c r="B603" t="s">
        <v>698</v>
      </c>
      <c r="C603" t="s">
        <v>466</v>
      </c>
      <c r="D603" t="s">
        <v>55</v>
      </c>
      <c r="E603" t="s">
        <v>467</v>
      </c>
      <c r="F603">
        <v>2</v>
      </c>
      <c r="G603">
        <v>39.289372610104301</v>
      </c>
      <c r="H603">
        <v>11.43599740060767</v>
      </c>
      <c r="I603">
        <v>3.5</v>
      </c>
      <c r="J603">
        <v>3.2</v>
      </c>
      <c r="K603">
        <v>0.54</v>
      </c>
      <c r="L603">
        <v>0.25</v>
      </c>
      <c r="N603">
        <v>125</v>
      </c>
      <c r="O603">
        <v>18</v>
      </c>
      <c r="P603">
        <v>8</v>
      </c>
      <c r="Q603">
        <v>0.53616514621265798</v>
      </c>
      <c r="R603">
        <v>1301660.814121977</v>
      </c>
      <c r="S603">
        <v>-4.4362716304995409E-3</v>
      </c>
      <c r="T603">
        <v>1360.628772606158</v>
      </c>
      <c r="U603">
        <v>750.05745558684532</v>
      </c>
      <c r="V603">
        <v>301.02406473587558</v>
      </c>
      <c r="W603">
        <v>2.491686025982542</v>
      </c>
      <c r="X603" t="s">
        <v>57</v>
      </c>
      <c r="Y603">
        <v>8</v>
      </c>
      <c r="Z603">
        <v>855.76599999999996</v>
      </c>
      <c r="AA603">
        <v>94.917299999999997</v>
      </c>
      <c r="AB603">
        <v>77.850200000000001</v>
      </c>
      <c r="AC603">
        <v>19.570201410121239</v>
      </c>
      <c r="AD603">
        <v>77.855934534619934</v>
      </c>
      <c r="AE603">
        <v>77.855934534619934</v>
      </c>
      <c r="AF603" t="s">
        <v>58</v>
      </c>
      <c r="AG603" t="b">
        <v>1</v>
      </c>
      <c r="AH603">
        <v>3.9782898961047328</v>
      </c>
      <c r="AI603">
        <v>853.29300000000001</v>
      </c>
      <c r="AJ603">
        <v>78.431799999999996</v>
      </c>
      <c r="AK603">
        <v>77.910899999999998</v>
      </c>
      <c r="AL603">
        <v>19.306902842809361</v>
      </c>
      <c r="AN603">
        <v>78.431799999999996</v>
      </c>
      <c r="AO603" t="s">
        <v>62</v>
      </c>
      <c r="AP603" t="b">
        <v>0</v>
      </c>
      <c r="AQ603">
        <v>4.0623708856136407</v>
      </c>
      <c r="AR603">
        <v>855.76599999999996</v>
      </c>
      <c r="AS603">
        <v>78.431799999999996</v>
      </c>
      <c r="AT603">
        <v>4.0623708856136407</v>
      </c>
      <c r="AU603" s="5">
        <v>58.588554599999995</v>
      </c>
      <c r="AV603" s="5">
        <v>83.68673059999999</v>
      </c>
      <c r="AW603" s="5">
        <v>3.0345910515533894</v>
      </c>
      <c r="AX603" s="5">
        <v>4.3345497349497544</v>
      </c>
      <c r="AY603" t="s">
        <v>59</v>
      </c>
      <c r="AZ603" t="s">
        <v>60</v>
      </c>
      <c r="BA603" s="23">
        <f t="shared" si="9"/>
        <v>0</v>
      </c>
      <c r="BB603" s="23">
        <f>IF(AND(ISNUMBER(H603),Metadata!$H$5&gt;Metadata!$G$5),MAX(Metadata!$G$5-H603,0,H603-Metadata!$H$5)/(Metadata!$H$5-Metadata!$G$5),"Missing input")</f>
        <v>0</v>
      </c>
      <c r="BC603" s="23">
        <f>IF(AND(ISNUMBER(L603),Metadata!$H$8&gt;Metadata!$G$8),MAX(Metadata!$G$8-L603,0,L603-Metadata!$H$8)/(Metadata!$H$8-Metadata!$G$8),"Missing input")</f>
        <v>0</v>
      </c>
    </row>
    <row r="604" spans="1:55" x14ac:dyDescent="0.2">
      <c r="A604" t="s">
        <v>700</v>
      </c>
      <c r="B604" t="s">
        <v>698</v>
      </c>
      <c r="C604" t="s">
        <v>466</v>
      </c>
      <c r="D604" t="s">
        <v>55</v>
      </c>
      <c r="E604" t="s">
        <v>467</v>
      </c>
      <c r="F604">
        <v>3</v>
      </c>
      <c r="G604">
        <v>50.720967279676117</v>
      </c>
      <c r="H604">
        <v>41.572102032205443</v>
      </c>
      <c r="I604">
        <v>3.5</v>
      </c>
      <c r="J604">
        <v>3.2</v>
      </c>
      <c r="K604">
        <v>0.54</v>
      </c>
      <c r="L604">
        <v>0.25</v>
      </c>
      <c r="N604">
        <v>125</v>
      </c>
      <c r="O604">
        <v>18</v>
      </c>
      <c r="P604">
        <v>8</v>
      </c>
      <c r="Q604">
        <v>0.53616514621265798</v>
      </c>
      <c r="R604">
        <v>6279453.0057685468</v>
      </c>
      <c r="S604">
        <v>-8.992029134523627E-3</v>
      </c>
      <c r="T604">
        <v>3458.9202842345808</v>
      </c>
      <c r="U604">
        <v>792.59154081609961</v>
      </c>
      <c r="V604">
        <v>765.24785049437628</v>
      </c>
      <c r="W604">
        <v>1.03573180937922</v>
      </c>
      <c r="X604" t="s">
        <v>87</v>
      </c>
      <c r="Y604">
        <v>8</v>
      </c>
      <c r="Z604">
        <v>1345.09</v>
      </c>
      <c r="AA604">
        <v>95.163399999999996</v>
      </c>
      <c r="AB604">
        <v>43.7149</v>
      </c>
      <c r="AC604">
        <v>20.362999841772151</v>
      </c>
      <c r="AD604">
        <v>50.257867172011672</v>
      </c>
      <c r="AE604">
        <v>50.257867172011672</v>
      </c>
      <c r="AF604" t="s">
        <v>58</v>
      </c>
      <c r="AG604" t="b">
        <v>1</v>
      </c>
      <c r="AH604">
        <v>2.4680974101327608</v>
      </c>
      <c r="AI604">
        <v>1330.83</v>
      </c>
      <c r="AJ604">
        <v>91.310100000000006</v>
      </c>
      <c r="AK604">
        <v>42.482700000000001</v>
      </c>
      <c r="AL604">
        <v>19.447807784583969</v>
      </c>
      <c r="AM604">
        <v>49.890456405163853</v>
      </c>
      <c r="AN604">
        <v>49.890456405163853</v>
      </c>
      <c r="AO604" t="s">
        <v>58</v>
      </c>
      <c r="AP604" t="b">
        <v>1</v>
      </c>
      <c r="AQ604">
        <v>2.565351167482814</v>
      </c>
      <c r="AR604">
        <v>1345.09</v>
      </c>
      <c r="AS604">
        <v>50.257867172011672</v>
      </c>
      <c r="AT604">
        <v>2.565351167482814</v>
      </c>
      <c r="AU604" s="5" t="s">
        <v>88</v>
      </c>
      <c r="AV604" s="5" t="s">
        <v>88</v>
      </c>
      <c r="AW604" s="5" t="s">
        <v>88</v>
      </c>
      <c r="AX604" s="5" t="s">
        <v>88</v>
      </c>
      <c r="AY604" t="s">
        <v>64</v>
      </c>
      <c r="AZ604" t="s">
        <v>7</v>
      </c>
      <c r="BA604" s="23">
        <f t="shared" si="9"/>
        <v>4.6063612035701466E-2</v>
      </c>
      <c r="BB604" s="23">
        <f>IF(AND(ISNUMBER(H604),Metadata!$H$5&gt;Metadata!$G$5),MAX(Metadata!$G$5-H604,0,H604-Metadata!$H$5)/(Metadata!$H$5-Metadata!$G$5),"Missing input")</f>
        <v>4.6063612035701466E-2</v>
      </c>
      <c r="BC604" s="23">
        <f>IF(AND(ISNUMBER(L604),Metadata!$H$8&gt;Metadata!$G$8),MAX(Metadata!$G$8-L604,0,L604-Metadata!$H$8)/(Metadata!$H$8-Metadata!$G$8),"Missing input")</f>
        <v>0</v>
      </c>
    </row>
    <row r="605" spans="1:55" x14ac:dyDescent="0.2">
      <c r="A605" t="s">
        <v>701</v>
      </c>
      <c r="B605" t="s">
        <v>698</v>
      </c>
      <c r="C605" t="s">
        <v>466</v>
      </c>
      <c r="D605" t="s">
        <v>55</v>
      </c>
      <c r="E605" t="s">
        <v>467</v>
      </c>
      <c r="F605">
        <v>4</v>
      </c>
      <c r="G605">
        <v>40.065365059576777</v>
      </c>
      <c r="H605">
        <v>25.23064360495534</v>
      </c>
      <c r="I605">
        <v>3.5</v>
      </c>
      <c r="J605">
        <v>3.2</v>
      </c>
      <c r="K605">
        <v>0.54</v>
      </c>
      <c r="L605">
        <v>0.25</v>
      </c>
      <c r="N605">
        <v>125</v>
      </c>
      <c r="O605">
        <v>18</v>
      </c>
      <c r="P605">
        <v>8</v>
      </c>
      <c r="Q605">
        <v>0.53616514621265798</v>
      </c>
      <c r="R605">
        <v>2986346.165161836</v>
      </c>
      <c r="S605">
        <v>-7.4037783061618014E-3</v>
      </c>
      <c r="T605">
        <v>1999.503407176752</v>
      </c>
      <c r="U605">
        <v>753.12627800274458</v>
      </c>
      <c r="V605">
        <v>442.36801043733448</v>
      </c>
      <c r="W605">
        <v>1.702488109974742</v>
      </c>
      <c r="X605" t="s">
        <v>57</v>
      </c>
      <c r="Y605">
        <v>8</v>
      </c>
      <c r="Z605">
        <v>1078.77</v>
      </c>
      <c r="AA605">
        <v>95.163399999999996</v>
      </c>
      <c r="AB605">
        <v>61.124299999999998</v>
      </c>
      <c r="AC605">
        <v>21.016481415594249</v>
      </c>
      <c r="AD605">
        <v>78.040006736012757</v>
      </c>
      <c r="AE605">
        <v>78.040006736012757</v>
      </c>
      <c r="AF605" t="s">
        <v>58</v>
      </c>
      <c r="AG605" t="b">
        <v>1</v>
      </c>
      <c r="AH605">
        <v>3.7132765086979309</v>
      </c>
      <c r="AI605">
        <v>1072.96</v>
      </c>
      <c r="AJ605">
        <v>91.310100000000006</v>
      </c>
      <c r="AK605">
        <v>60.512900000000002</v>
      </c>
      <c r="AL605">
        <v>20.771204281098541</v>
      </c>
      <c r="AM605">
        <v>78.547141639330988</v>
      </c>
      <c r="AN605">
        <v>78.547141639330988</v>
      </c>
      <c r="AO605" t="s">
        <v>58</v>
      </c>
      <c r="AP605" t="b">
        <v>1</v>
      </c>
      <c r="AQ605">
        <v>3.7815400867636551</v>
      </c>
      <c r="AR605">
        <v>1078.77</v>
      </c>
      <c r="AS605">
        <v>78.547141639330988</v>
      </c>
      <c r="AT605">
        <v>3.7815400867636551</v>
      </c>
      <c r="AU605" s="5">
        <v>58.674714804580248</v>
      </c>
      <c r="AV605" s="5">
        <v>83.809800129166163</v>
      </c>
      <c r="AW605" s="5">
        <v>2.8248104448124502</v>
      </c>
      <c r="AX605" s="5">
        <v>4.0349032725768197</v>
      </c>
      <c r="AY605" t="s">
        <v>59</v>
      </c>
      <c r="AZ605" t="s">
        <v>60</v>
      </c>
      <c r="BA605" s="23">
        <f t="shared" si="9"/>
        <v>0</v>
      </c>
      <c r="BB605" s="23">
        <f>IF(AND(ISNUMBER(H605),Metadata!$H$5&gt;Metadata!$G$5),MAX(Metadata!$G$5-H605,0,H605-Metadata!$H$5)/(Metadata!$H$5-Metadata!$G$5),"Missing input")</f>
        <v>0</v>
      </c>
      <c r="BC605" s="23">
        <f>IF(AND(ISNUMBER(L605),Metadata!$H$8&gt;Metadata!$G$8),MAX(Metadata!$G$8-L605,0,L605-Metadata!$H$8)/(Metadata!$H$8-Metadata!$G$8),"Missing input")</f>
        <v>0</v>
      </c>
    </row>
    <row r="606" spans="1:55" x14ac:dyDescent="0.2">
      <c r="A606" t="s">
        <v>702</v>
      </c>
      <c r="B606" t="s">
        <v>698</v>
      </c>
      <c r="C606" t="s">
        <v>466</v>
      </c>
      <c r="D606" t="s">
        <v>55</v>
      </c>
      <c r="E606" t="s">
        <v>467</v>
      </c>
      <c r="F606">
        <v>5</v>
      </c>
      <c r="G606">
        <v>44.691650234033148</v>
      </c>
      <c r="H606">
        <v>35.278860063057749</v>
      </c>
      <c r="I606">
        <v>3.5</v>
      </c>
      <c r="J606">
        <v>3.2</v>
      </c>
      <c r="K606">
        <v>0.54</v>
      </c>
      <c r="L606">
        <v>0.25</v>
      </c>
      <c r="N606">
        <v>125</v>
      </c>
      <c r="O606">
        <v>18</v>
      </c>
      <c r="P606">
        <v>8</v>
      </c>
      <c r="Q606">
        <v>0.53616514621265798</v>
      </c>
      <c r="R606">
        <v>4683732.748780732</v>
      </c>
      <c r="S606">
        <v>-8.6850803875244392E-3</v>
      </c>
      <c r="T606">
        <v>2731.667227913751</v>
      </c>
      <c r="U606">
        <v>770.83560231362162</v>
      </c>
      <c r="V606">
        <v>604.35115661808663</v>
      </c>
      <c r="W606">
        <v>1.275476341647416</v>
      </c>
      <c r="X606" t="s">
        <v>57</v>
      </c>
      <c r="Y606">
        <v>8</v>
      </c>
      <c r="Z606">
        <v>1229.76</v>
      </c>
      <c r="AA606">
        <v>95.163399999999996</v>
      </c>
      <c r="AB606">
        <v>49.247999999999998</v>
      </c>
      <c r="AC606">
        <v>20.91783157650336</v>
      </c>
      <c r="AD606">
        <v>57.602758011615997</v>
      </c>
      <c r="AE606">
        <v>57.602758011615997</v>
      </c>
      <c r="AF606" t="s">
        <v>58</v>
      </c>
      <c r="AG606" t="b">
        <v>1</v>
      </c>
      <c r="AH606">
        <v>2.7537633526182601</v>
      </c>
      <c r="AI606">
        <v>1225.68</v>
      </c>
      <c r="AJ606">
        <v>91.310100000000006</v>
      </c>
      <c r="AK606">
        <v>48.322400000000002</v>
      </c>
      <c r="AL606">
        <v>20.574638840797888</v>
      </c>
      <c r="AM606">
        <v>57.872173263720242</v>
      </c>
      <c r="AN606">
        <v>57.872173263720242</v>
      </c>
      <c r="AO606" t="s">
        <v>58</v>
      </c>
      <c r="AP606" t="b">
        <v>1</v>
      </c>
      <c r="AQ606">
        <v>2.812791695228412</v>
      </c>
      <c r="AR606">
        <v>1229.76</v>
      </c>
      <c r="AS606">
        <v>57.872173263720242</v>
      </c>
      <c r="AT606">
        <v>2.812791695228412</v>
      </c>
      <c r="AU606" s="5">
        <v>43.230513427999021</v>
      </c>
      <c r="AV606" s="5">
        <v>61.749608872389494</v>
      </c>
      <c r="AW606" s="5">
        <v>2.1011553963356238</v>
      </c>
      <c r="AX606" s="5">
        <v>3.0012487388087155</v>
      </c>
      <c r="AY606" t="s">
        <v>59</v>
      </c>
      <c r="AZ606" t="s">
        <v>60</v>
      </c>
      <c r="BA606" s="23">
        <f t="shared" si="9"/>
        <v>0</v>
      </c>
      <c r="BB606" s="23">
        <f>IF(AND(ISNUMBER(H606),Metadata!$H$5&gt;Metadata!$G$5),MAX(Metadata!$G$5-H606,0,H606-Metadata!$H$5)/(Metadata!$H$5-Metadata!$G$5),"Missing input")</f>
        <v>0</v>
      </c>
      <c r="BC606" s="23">
        <f>IF(AND(ISNUMBER(L606),Metadata!$H$8&gt;Metadata!$G$8),MAX(Metadata!$G$8-L606,0,L606-Metadata!$H$8)/(Metadata!$H$8-Metadata!$G$8),"Missing input")</f>
        <v>0</v>
      </c>
    </row>
    <row r="607" spans="1:55" x14ac:dyDescent="0.2">
      <c r="A607" t="s">
        <v>703</v>
      </c>
      <c r="B607" t="s">
        <v>698</v>
      </c>
      <c r="C607" t="s">
        <v>466</v>
      </c>
      <c r="D607" t="s">
        <v>55</v>
      </c>
      <c r="E607" t="s">
        <v>467</v>
      </c>
      <c r="F607">
        <v>6</v>
      </c>
      <c r="G607">
        <v>33.086500490231572</v>
      </c>
      <c r="H607">
        <v>19.79580616436397</v>
      </c>
      <c r="I607">
        <v>3.5</v>
      </c>
      <c r="J607">
        <v>3.2</v>
      </c>
      <c r="K607">
        <v>0.54</v>
      </c>
      <c r="L607">
        <v>0.25</v>
      </c>
      <c r="N607">
        <v>125</v>
      </c>
      <c r="O607">
        <v>18</v>
      </c>
      <c r="P607">
        <v>8</v>
      </c>
      <c r="Q607">
        <v>0.53616514621265798</v>
      </c>
      <c r="R607">
        <v>1918643.176085273</v>
      </c>
      <c r="S607">
        <v>-6.3244590911467778E-3</v>
      </c>
      <c r="T607">
        <v>1590.998424925662</v>
      </c>
      <c r="U607">
        <v>724.34809556380162</v>
      </c>
      <c r="V607">
        <v>351.99080197470403</v>
      </c>
      <c r="W607">
        <v>2.0578608631252169</v>
      </c>
      <c r="X607" t="s">
        <v>57</v>
      </c>
      <c r="Y607">
        <v>8</v>
      </c>
      <c r="Z607">
        <v>927.42899999999997</v>
      </c>
      <c r="AA607">
        <v>95.163399999999996</v>
      </c>
      <c r="AB607">
        <v>65.006200000000007</v>
      </c>
      <c r="AC607">
        <v>20.94821948979591</v>
      </c>
      <c r="AE607">
        <v>95.163399999999996</v>
      </c>
      <c r="AF607" t="s">
        <v>62</v>
      </c>
      <c r="AG607" t="b">
        <v>0</v>
      </c>
      <c r="AH607">
        <v>4.542791813230477</v>
      </c>
      <c r="AI607">
        <v>921.40300000000002</v>
      </c>
      <c r="AJ607">
        <v>91.310100000000006</v>
      </c>
      <c r="AK607">
        <v>64.811499999999995</v>
      </c>
      <c r="AL607">
        <v>20.691266724738679</v>
      </c>
      <c r="AN607">
        <v>91.310100000000006</v>
      </c>
      <c r="AO607" t="s">
        <v>62</v>
      </c>
      <c r="AP607" t="b">
        <v>0</v>
      </c>
      <c r="AQ607">
        <v>4.4129777656787326</v>
      </c>
      <c r="AR607">
        <v>927.42899999999997</v>
      </c>
      <c r="AS607">
        <v>95.163399999999996</v>
      </c>
      <c r="AT607">
        <v>4.542791813230477</v>
      </c>
      <c r="AU607" s="5">
        <v>71.087059799999992</v>
      </c>
      <c r="AV607" s="5">
        <v>101.53934779999999</v>
      </c>
      <c r="AW607" s="5">
        <v>3.3934654844831664</v>
      </c>
      <c r="AX607" s="5">
        <v>4.8471588647169188</v>
      </c>
      <c r="AY607" t="s">
        <v>59</v>
      </c>
      <c r="AZ607" t="s">
        <v>60</v>
      </c>
      <c r="BA607" s="23">
        <f t="shared" si="9"/>
        <v>0</v>
      </c>
      <c r="BB607" s="23">
        <f>IF(AND(ISNUMBER(H607),Metadata!$H$5&gt;Metadata!$G$5),MAX(Metadata!$G$5-H607,0,H607-Metadata!$H$5)/(Metadata!$H$5-Metadata!$G$5),"Missing input")</f>
        <v>0</v>
      </c>
      <c r="BC607" s="23">
        <f>IF(AND(ISNUMBER(L607),Metadata!$H$8&gt;Metadata!$G$8),MAX(Metadata!$G$8-L607,0,L607-Metadata!$H$8)/(Metadata!$H$8-Metadata!$G$8),"Missing input")</f>
        <v>0</v>
      </c>
    </row>
    <row r="608" spans="1:55" x14ac:dyDescent="0.2">
      <c r="A608" t="s">
        <v>704</v>
      </c>
      <c r="B608" t="s">
        <v>698</v>
      </c>
      <c r="C608" t="s">
        <v>466</v>
      </c>
      <c r="D608" t="s">
        <v>55</v>
      </c>
      <c r="E608" t="s">
        <v>467</v>
      </c>
      <c r="F608">
        <v>7</v>
      </c>
      <c r="G608">
        <v>42.943727860216583</v>
      </c>
      <c r="H608">
        <v>31.604415760045629</v>
      </c>
      <c r="I608">
        <v>3.5</v>
      </c>
      <c r="J608">
        <v>3.2</v>
      </c>
      <c r="K608">
        <v>0.54</v>
      </c>
      <c r="L608">
        <v>0.25</v>
      </c>
      <c r="N608">
        <v>125</v>
      </c>
      <c r="O608">
        <v>18</v>
      </c>
      <c r="P608">
        <v>8</v>
      </c>
      <c r="Q608">
        <v>0.53616514621265798</v>
      </c>
      <c r="R608">
        <v>4025355.613741619</v>
      </c>
      <c r="S608">
        <v>-8.3348807491031782E-3</v>
      </c>
      <c r="T608">
        <v>2439.6177763878791</v>
      </c>
      <c r="U608">
        <v>764.25751687900618</v>
      </c>
      <c r="V608">
        <v>539.73844610351296</v>
      </c>
      <c r="W608">
        <v>1.415977539484808</v>
      </c>
      <c r="X608" t="s">
        <v>57</v>
      </c>
      <c r="Y608">
        <v>8</v>
      </c>
      <c r="Z608">
        <v>1180.99</v>
      </c>
      <c r="AA608">
        <v>95.163399999999996</v>
      </c>
      <c r="AB608">
        <v>51.296399999999998</v>
      </c>
      <c r="AC608">
        <v>21.103246654676258</v>
      </c>
      <c r="AD608">
        <v>65.228435846833577</v>
      </c>
      <c r="AE608">
        <v>65.228435846833577</v>
      </c>
      <c r="AF608" t="s">
        <v>58</v>
      </c>
      <c r="AG608" t="b">
        <v>1</v>
      </c>
      <c r="AH608">
        <v>3.0909194643933908</v>
      </c>
      <c r="AI608">
        <v>1178.6300000000001</v>
      </c>
      <c r="AJ608">
        <v>91.310100000000006</v>
      </c>
      <c r="AK608">
        <v>51.757599999999996</v>
      </c>
      <c r="AL608">
        <v>20.906358239557509</v>
      </c>
      <c r="AM608">
        <v>64.845658656970613</v>
      </c>
      <c r="AN608">
        <v>64.845658656970613</v>
      </c>
      <c r="AO608" t="s">
        <v>58</v>
      </c>
      <c r="AP608" t="b">
        <v>1</v>
      </c>
      <c r="AQ608">
        <v>3.101719482366581</v>
      </c>
      <c r="AR608">
        <v>1180.99</v>
      </c>
      <c r="AS608">
        <v>65.228435846833577</v>
      </c>
      <c r="AT608">
        <v>3.101719482366581</v>
      </c>
      <c r="AU608" s="5">
        <v>48.725641577584682</v>
      </c>
      <c r="AV608" s="5">
        <v>69.598741048571426</v>
      </c>
      <c r="AW608" s="5">
        <v>2.3169844533278359</v>
      </c>
      <c r="AX608" s="5">
        <v>3.3095346876851419</v>
      </c>
      <c r="AY608" t="s">
        <v>59</v>
      </c>
      <c r="AZ608" t="s">
        <v>60</v>
      </c>
      <c r="BA608" s="23">
        <f t="shared" si="9"/>
        <v>0</v>
      </c>
      <c r="BB608" s="23">
        <f>IF(AND(ISNUMBER(H608),Metadata!$H$5&gt;Metadata!$G$5),MAX(Metadata!$G$5-H608,0,H608-Metadata!$H$5)/(Metadata!$H$5-Metadata!$G$5),"Missing input")</f>
        <v>0</v>
      </c>
      <c r="BC608" s="23">
        <f>IF(AND(ISNUMBER(L608),Metadata!$H$8&gt;Metadata!$G$8),MAX(Metadata!$G$8-L608,0,L608-Metadata!$H$8)/(Metadata!$H$8-Metadata!$G$8),"Missing input")</f>
        <v>0</v>
      </c>
    </row>
    <row r="609" spans="1:55" x14ac:dyDescent="0.2">
      <c r="A609" t="s">
        <v>705</v>
      </c>
      <c r="B609" t="s">
        <v>698</v>
      </c>
      <c r="C609" t="s">
        <v>466</v>
      </c>
      <c r="D609" t="s">
        <v>55</v>
      </c>
      <c r="E609" t="s">
        <v>467</v>
      </c>
      <c r="F609">
        <v>8</v>
      </c>
      <c r="G609">
        <v>29.155454969686971</v>
      </c>
      <c r="H609">
        <v>7.3398505058277053</v>
      </c>
      <c r="I609">
        <v>3.5</v>
      </c>
      <c r="J609">
        <v>3.2</v>
      </c>
      <c r="K609">
        <v>0.54</v>
      </c>
      <c r="L609">
        <v>0.25</v>
      </c>
      <c r="N609">
        <v>125</v>
      </c>
      <c r="O609">
        <v>18</v>
      </c>
      <c r="P609">
        <v>8</v>
      </c>
      <c r="Q609">
        <v>0.53616514621265798</v>
      </c>
      <c r="R609">
        <v>595711.36772068124</v>
      </c>
      <c r="S609">
        <v>-3.5574913534637009E-3</v>
      </c>
      <c r="T609">
        <v>1147.273370305878</v>
      </c>
      <c r="U609">
        <v>706.7858992589853</v>
      </c>
      <c r="V609">
        <v>253.82154210307041</v>
      </c>
      <c r="W609">
        <v>2.7845780677353922</v>
      </c>
      <c r="X609" t="s">
        <v>57</v>
      </c>
      <c r="Y609">
        <v>8</v>
      </c>
      <c r="Z609">
        <v>721.42600000000004</v>
      </c>
      <c r="AA609">
        <v>95.163399999999996</v>
      </c>
      <c r="AB609">
        <v>51.296399999999998</v>
      </c>
      <c r="AC609">
        <v>19.99346757712992</v>
      </c>
      <c r="AE609">
        <v>95.163399999999996</v>
      </c>
      <c r="AF609" t="s">
        <v>62</v>
      </c>
      <c r="AG609" t="b">
        <v>0</v>
      </c>
      <c r="AH609">
        <v>4.7597246267003372</v>
      </c>
      <c r="AI609">
        <v>714.06700000000001</v>
      </c>
      <c r="AJ609">
        <v>91.310100000000006</v>
      </c>
      <c r="AK609">
        <v>78.431799999999996</v>
      </c>
      <c r="AL609">
        <v>19.492236799246619</v>
      </c>
      <c r="AN609">
        <v>91.310100000000006</v>
      </c>
      <c r="AO609" t="s">
        <v>62</v>
      </c>
      <c r="AP609" t="b">
        <v>0</v>
      </c>
      <c r="AQ609">
        <v>4.6844341642478486</v>
      </c>
      <c r="AR609">
        <v>721.42600000000004</v>
      </c>
      <c r="AS609">
        <v>95.163399999999996</v>
      </c>
      <c r="AT609">
        <v>4.7597246267003372</v>
      </c>
      <c r="AU609" s="5">
        <v>71.087059799999992</v>
      </c>
      <c r="AV609" s="5">
        <v>101.53934779999999</v>
      </c>
      <c r="AW609" s="5">
        <v>3.555514296145152</v>
      </c>
      <c r="AX609" s="5">
        <v>5.0786261766892595</v>
      </c>
      <c r="AY609" t="s">
        <v>59</v>
      </c>
      <c r="AZ609" t="s">
        <v>60</v>
      </c>
      <c r="BA609" s="23">
        <f t="shared" si="9"/>
        <v>0</v>
      </c>
      <c r="BB609" s="23">
        <f>IF(AND(ISNUMBER(H609),Metadata!$H$5&gt;Metadata!$G$5),MAX(Metadata!$G$5-H609,0,H609-Metadata!$H$5)/(Metadata!$H$5-Metadata!$G$5),"Missing input")</f>
        <v>0</v>
      </c>
      <c r="BC609" s="23">
        <f>IF(AND(ISNUMBER(L609),Metadata!$H$8&gt;Metadata!$G$8),MAX(Metadata!$G$8-L609,0,L609-Metadata!$H$8)/(Metadata!$H$8-Metadata!$G$8),"Missing input")</f>
        <v>0</v>
      </c>
    </row>
    <row r="610" spans="1:55" x14ac:dyDescent="0.2">
      <c r="A610" t="s">
        <v>706</v>
      </c>
      <c r="B610" t="s">
        <v>698</v>
      </c>
      <c r="C610" t="s">
        <v>466</v>
      </c>
      <c r="D610" t="s">
        <v>55</v>
      </c>
      <c r="E610" t="s">
        <v>467</v>
      </c>
      <c r="F610">
        <v>9</v>
      </c>
      <c r="G610">
        <v>59.748609235827082</v>
      </c>
      <c r="H610">
        <v>37.783512331141722</v>
      </c>
      <c r="I610">
        <v>3.5</v>
      </c>
      <c r="J610">
        <v>3.2</v>
      </c>
      <c r="K610">
        <v>0.54</v>
      </c>
      <c r="L610">
        <v>0.25</v>
      </c>
      <c r="N610">
        <v>125</v>
      </c>
      <c r="O610">
        <v>18</v>
      </c>
      <c r="P610">
        <v>8</v>
      </c>
      <c r="Q610">
        <v>0.53616514621265798</v>
      </c>
      <c r="R610">
        <v>6726258.2664913209</v>
      </c>
      <c r="S610">
        <v>-8.8489737115606815E-3</v>
      </c>
      <c r="T610">
        <v>3623.8237554263801</v>
      </c>
      <c r="U610">
        <v>822.87545002106197</v>
      </c>
      <c r="V610">
        <v>801.73091934211948</v>
      </c>
      <c r="W610">
        <v>1.026373600130444</v>
      </c>
      <c r="X610" t="s">
        <v>87</v>
      </c>
      <c r="Y610">
        <v>8</v>
      </c>
      <c r="Z610">
        <v>1471.83</v>
      </c>
      <c r="AA610">
        <v>95.163399999999996</v>
      </c>
      <c r="AB610">
        <v>44.910200000000003</v>
      </c>
      <c r="AC610">
        <v>20.575915667976421</v>
      </c>
      <c r="AD610">
        <v>51.959786272373542</v>
      </c>
      <c r="AE610">
        <v>51.959786272373542</v>
      </c>
      <c r="AF610" t="s">
        <v>58</v>
      </c>
      <c r="AG610" t="b">
        <v>1</v>
      </c>
      <c r="AH610">
        <v>2.5252721244985361</v>
      </c>
      <c r="AI610">
        <v>1466.41</v>
      </c>
      <c r="AJ610">
        <v>91.310100000000006</v>
      </c>
      <c r="AK610">
        <v>45.574300000000001</v>
      </c>
      <c r="AL610">
        <v>20.006777943548389</v>
      </c>
      <c r="AM610">
        <v>51.88687022315537</v>
      </c>
      <c r="AN610">
        <v>51.88687022315537</v>
      </c>
      <c r="AO610" t="s">
        <v>58</v>
      </c>
      <c r="AP610" t="b">
        <v>1</v>
      </c>
      <c r="AQ610">
        <v>2.593464593327353</v>
      </c>
      <c r="AR610">
        <v>1471.83</v>
      </c>
      <c r="AS610">
        <v>51.959786272373542</v>
      </c>
      <c r="AT610">
        <v>2.593464593327353</v>
      </c>
      <c r="AU610" s="5" t="s">
        <v>88</v>
      </c>
      <c r="AV610" s="5" t="s">
        <v>88</v>
      </c>
      <c r="AW610" s="5" t="s">
        <v>88</v>
      </c>
      <c r="AX610" s="5" t="s">
        <v>88</v>
      </c>
      <c r="AY610" t="s">
        <v>59</v>
      </c>
      <c r="AZ610" t="s">
        <v>60</v>
      </c>
      <c r="BA610" s="23">
        <f t="shared" si="9"/>
        <v>0</v>
      </c>
      <c r="BB610" s="23">
        <f>IF(AND(ISNUMBER(H610),Metadata!$H$5&gt;Metadata!$G$5),MAX(Metadata!$G$5-H610,0,H610-Metadata!$H$5)/(Metadata!$H$5-Metadata!$G$5),"Missing input")</f>
        <v>0</v>
      </c>
      <c r="BC610" s="23">
        <f>IF(AND(ISNUMBER(L610),Metadata!$H$8&gt;Metadata!$G$8),MAX(Metadata!$G$8-L610,0,L610-Metadata!$H$8)/(Metadata!$H$8-Metadata!$G$8),"Missing input")</f>
        <v>0</v>
      </c>
    </row>
    <row r="611" spans="1:55" x14ac:dyDescent="0.2">
      <c r="A611" t="s">
        <v>707</v>
      </c>
      <c r="B611" t="s">
        <v>698</v>
      </c>
      <c r="C611" t="s">
        <v>466</v>
      </c>
      <c r="D611" t="s">
        <v>55</v>
      </c>
      <c r="E611" t="s">
        <v>467</v>
      </c>
      <c r="F611">
        <v>10</v>
      </c>
      <c r="G611">
        <v>34.746337553007109</v>
      </c>
      <c r="H611">
        <v>23.7414613202046</v>
      </c>
      <c r="I611">
        <v>3.5</v>
      </c>
      <c r="J611">
        <v>3.2</v>
      </c>
      <c r="K611">
        <v>0.54</v>
      </c>
      <c r="L611">
        <v>0.25</v>
      </c>
      <c r="N611">
        <v>125</v>
      </c>
      <c r="O611">
        <v>18</v>
      </c>
      <c r="P611">
        <v>8</v>
      </c>
      <c r="Q611">
        <v>0.53616514621265798</v>
      </c>
      <c r="R611">
        <v>2428507.8121004719</v>
      </c>
      <c r="S611">
        <v>-7.1303165328461858E-3</v>
      </c>
      <c r="T611">
        <v>1786.8608563331061</v>
      </c>
      <c r="U611">
        <v>731.44834288856589</v>
      </c>
      <c r="V611">
        <v>395.32319830378458</v>
      </c>
      <c r="W611">
        <v>1.8502540352476029</v>
      </c>
      <c r="X611" t="s">
        <v>57</v>
      </c>
      <c r="Y611">
        <v>8</v>
      </c>
      <c r="Z611">
        <v>990.94899999999996</v>
      </c>
      <c r="AA611">
        <v>95.104200000000006</v>
      </c>
      <c r="AB611">
        <v>51.296399999999998</v>
      </c>
      <c r="AC611">
        <v>21.107834679350709</v>
      </c>
      <c r="AD611">
        <v>51.342244265046098</v>
      </c>
      <c r="AE611">
        <v>51.342244265046098</v>
      </c>
      <c r="AF611" t="s">
        <v>58</v>
      </c>
      <c r="AG611" t="b">
        <v>1</v>
      </c>
      <c r="AH611">
        <v>2.4323785478229549</v>
      </c>
      <c r="AI611">
        <v>974.57100000000003</v>
      </c>
      <c r="AJ611">
        <v>91.369299999999996</v>
      </c>
      <c r="AK611">
        <v>64.870699999999999</v>
      </c>
      <c r="AL611">
        <v>20.50498671989914</v>
      </c>
      <c r="AM611">
        <v>85.165647500116961</v>
      </c>
      <c r="AN611">
        <v>85.165647500116961</v>
      </c>
      <c r="AO611" t="s">
        <v>58</v>
      </c>
      <c r="AP611" t="b">
        <v>1</v>
      </c>
      <c r="AQ611">
        <v>4.1534114927013164</v>
      </c>
      <c r="AR611">
        <v>990.94899999999996</v>
      </c>
      <c r="AS611">
        <v>85.165647500116961</v>
      </c>
      <c r="AT611">
        <v>4.1534114927013164</v>
      </c>
      <c r="AU611" s="5">
        <v>63.61873868258737</v>
      </c>
      <c r="AV611" s="5">
        <v>90.871745882624793</v>
      </c>
      <c r="AW611" s="5">
        <v>3.1025983850478833</v>
      </c>
      <c r="AX611" s="5">
        <v>4.4316900627123044</v>
      </c>
      <c r="AY611" t="s">
        <v>59</v>
      </c>
      <c r="AZ611" t="s">
        <v>60</v>
      </c>
      <c r="BA611" s="23">
        <f t="shared" si="9"/>
        <v>0</v>
      </c>
      <c r="BB611" s="23">
        <f>IF(AND(ISNUMBER(H611),Metadata!$H$5&gt;Metadata!$G$5),MAX(Metadata!$G$5-H611,0,H611-Metadata!$H$5)/(Metadata!$H$5-Metadata!$G$5),"Missing input")</f>
        <v>0</v>
      </c>
      <c r="BC611" s="23">
        <f>IF(AND(ISNUMBER(L611),Metadata!$H$8&gt;Metadata!$G$8),MAX(Metadata!$G$8-L611,0,L611-Metadata!$H$8)/(Metadata!$H$8-Metadata!$G$8),"Missing input")</f>
        <v>0</v>
      </c>
    </row>
    <row r="612" spans="1:55" x14ac:dyDescent="0.2">
      <c r="A612" t="s">
        <v>708</v>
      </c>
      <c r="B612" t="s">
        <v>698</v>
      </c>
      <c r="C612" t="s">
        <v>466</v>
      </c>
      <c r="D612" t="s">
        <v>55</v>
      </c>
      <c r="E612" t="s">
        <v>467</v>
      </c>
      <c r="F612">
        <v>11</v>
      </c>
      <c r="G612">
        <v>24.502161634428251</v>
      </c>
      <c r="H612">
        <v>33.048591474592847</v>
      </c>
      <c r="I612">
        <v>3.5</v>
      </c>
      <c r="J612">
        <v>3.2</v>
      </c>
      <c r="K612">
        <v>0.54</v>
      </c>
      <c r="L612">
        <v>0.25</v>
      </c>
      <c r="N612">
        <v>125</v>
      </c>
      <c r="O612">
        <v>18</v>
      </c>
      <c r="P612">
        <v>8</v>
      </c>
      <c r="Q612">
        <v>0.53616514621265798</v>
      </c>
      <c r="R612">
        <v>2383007.1153019848</v>
      </c>
      <c r="S612">
        <v>-8.4886285295454004E-3</v>
      </c>
      <c r="T612">
        <v>1803.8989932975801</v>
      </c>
      <c r="U612">
        <v>684.38581388777777</v>
      </c>
      <c r="V612">
        <v>399.09269763220789</v>
      </c>
      <c r="W612">
        <v>1.7148542630526591</v>
      </c>
      <c r="X612" t="s">
        <v>57</v>
      </c>
      <c r="Y612">
        <v>8</v>
      </c>
      <c r="Z612">
        <v>914.57399999999996</v>
      </c>
      <c r="AA612">
        <v>95.163399999999996</v>
      </c>
      <c r="AB612">
        <v>51.296399999999998</v>
      </c>
      <c r="AC612">
        <v>22.14671431718061</v>
      </c>
      <c r="AD612">
        <v>66.067914944519615</v>
      </c>
      <c r="AE612">
        <v>66.067914944519615</v>
      </c>
      <c r="AF612" t="s">
        <v>58</v>
      </c>
      <c r="AG612" t="b">
        <v>1</v>
      </c>
      <c r="AH612">
        <v>2.9831926306678609</v>
      </c>
      <c r="AI612">
        <v>911.57500000000005</v>
      </c>
      <c r="AJ612">
        <v>91.310100000000006</v>
      </c>
      <c r="AK612">
        <v>51.757599999999996</v>
      </c>
      <c r="AL612">
        <v>21.97502478311841</v>
      </c>
      <c r="AM612">
        <v>67.803469438202228</v>
      </c>
      <c r="AN612">
        <v>67.803469438202228</v>
      </c>
      <c r="AO612" t="s">
        <v>58</v>
      </c>
      <c r="AP612" t="b">
        <v>1</v>
      </c>
      <c r="AQ612">
        <v>3.0854786334662072</v>
      </c>
      <c r="AR612">
        <v>914.57399999999996</v>
      </c>
      <c r="AS612">
        <v>67.803469438202228</v>
      </c>
      <c r="AT612">
        <v>3.0854786334662072</v>
      </c>
      <c r="AU612" s="5">
        <v>50.649191670337068</v>
      </c>
      <c r="AV612" s="5">
        <v>72.346301890561776</v>
      </c>
      <c r="AW612" s="5">
        <v>2.3048525391992567</v>
      </c>
      <c r="AX612" s="5">
        <v>3.292205701908443</v>
      </c>
      <c r="AY612" t="s">
        <v>59</v>
      </c>
      <c r="AZ612" t="s">
        <v>60</v>
      </c>
      <c r="BA612" s="23">
        <f t="shared" si="9"/>
        <v>0</v>
      </c>
      <c r="BB612" s="23">
        <f>IF(AND(ISNUMBER(H612),Metadata!$H$5&gt;Metadata!$G$5),MAX(Metadata!$G$5-H612,0,H612-Metadata!$H$5)/(Metadata!$H$5-Metadata!$G$5),"Missing input")</f>
        <v>0</v>
      </c>
      <c r="BC612" s="23">
        <f>IF(AND(ISNUMBER(L612),Metadata!$H$8&gt;Metadata!$G$8),MAX(Metadata!$G$8-L612,0,L612-Metadata!$H$8)/(Metadata!$H$8-Metadata!$G$8),"Missing input")</f>
        <v>0</v>
      </c>
    </row>
    <row r="613" spans="1:55" x14ac:dyDescent="0.2">
      <c r="A613" t="s">
        <v>709</v>
      </c>
      <c r="B613" t="s">
        <v>698</v>
      </c>
      <c r="C613" t="s">
        <v>466</v>
      </c>
      <c r="D613" t="s">
        <v>55</v>
      </c>
      <c r="E613" t="s">
        <v>467</v>
      </c>
      <c r="F613">
        <v>12</v>
      </c>
      <c r="G613">
        <v>56.241153781572699</v>
      </c>
      <c r="H613">
        <v>14.78764467513273</v>
      </c>
      <c r="I613">
        <v>3.5</v>
      </c>
      <c r="J613">
        <v>3.2</v>
      </c>
      <c r="K613">
        <v>0.54</v>
      </c>
      <c r="L613">
        <v>0.25</v>
      </c>
      <c r="N613">
        <v>125</v>
      </c>
      <c r="O613">
        <v>18</v>
      </c>
      <c r="P613">
        <v>8</v>
      </c>
      <c r="Q613">
        <v>0.53616514621265798</v>
      </c>
      <c r="R613">
        <v>2448743.9197241841</v>
      </c>
      <c r="S613">
        <v>-5.1979362146110757E-3</v>
      </c>
      <c r="T613">
        <v>1745.199778220529</v>
      </c>
      <c r="U613">
        <v>811.40111588676484</v>
      </c>
      <c r="V613">
        <v>386.10614562401082</v>
      </c>
      <c r="W613">
        <v>2.101497541758647</v>
      </c>
      <c r="X613" t="s">
        <v>57</v>
      </c>
      <c r="Y613">
        <v>8</v>
      </c>
      <c r="Z613">
        <v>1072.04</v>
      </c>
      <c r="AA613">
        <v>95.163399999999996</v>
      </c>
      <c r="AB613">
        <v>75.7804</v>
      </c>
      <c r="AC613">
        <v>19.220956807727688</v>
      </c>
      <c r="AE613">
        <v>95.163399999999996</v>
      </c>
      <c r="AF613" t="s">
        <v>62</v>
      </c>
      <c r="AG613" t="b">
        <v>0</v>
      </c>
      <c r="AH613">
        <v>4.9510230396928021</v>
      </c>
      <c r="AI613">
        <v>1068.74</v>
      </c>
      <c r="AJ613">
        <v>91.310100000000006</v>
      </c>
      <c r="AK613">
        <v>74.785299999999992</v>
      </c>
      <c r="AL613">
        <v>19.014534359447008</v>
      </c>
      <c r="AN613">
        <v>91.310100000000006</v>
      </c>
      <c r="AO613" t="s">
        <v>62</v>
      </c>
      <c r="AP613" t="b">
        <v>0</v>
      </c>
      <c r="AQ613">
        <v>4.802121275961424</v>
      </c>
      <c r="AR613">
        <v>1072.04</v>
      </c>
      <c r="AS613">
        <v>95.163399999999996</v>
      </c>
      <c r="AT613">
        <v>4.9510230396928021</v>
      </c>
      <c r="AU613" s="5">
        <v>71.087059799999992</v>
      </c>
      <c r="AV613" s="5">
        <v>101.53934779999999</v>
      </c>
      <c r="AW613" s="5">
        <v>3.6984142106505233</v>
      </c>
      <c r="AX613" s="5">
        <v>5.2827415833522195</v>
      </c>
      <c r="AY613" t="s">
        <v>59</v>
      </c>
      <c r="AZ613" t="s">
        <v>60</v>
      </c>
      <c r="BA613" s="23">
        <f t="shared" si="9"/>
        <v>0</v>
      </c>
      <c r="BB613" s="23">
        <f>IF(AND(ISNUMBER(H613),Metadata!$H$5&gt;Metadata!$G$5),MAX(Metadata!$G$5-H613,0,H613-Metadata!$H$5)/(Metadata!$H$5-Metadata!$G$5),"Missing input")</f>
        <v>0</v>
      </c>
      <c r="BC613" s="23">
        <f>IF(AND(ISNUMBER(L613),Metadata!$H$8&gt;Metadata!$G$8),MAX(Metadata!$G$8-L613,0,L613-Metadata!$H$8)/(Metadata!$H$8-Metadata!$G$8),"Missing input")</f>
        <v>0</v>
      </c>
    </row>
    <row r="614" spans="1:55" x14ac:dyDescent="0.2">
      <c r="A614" t="s">
        <v>710</v>
      </c>
      <c r="B614" t="s">
        <v>698</v>
      </c>
      <c r="C614" t="s">
        <v>466</v>
      </c>
      <c r="D614" t="s">
        <v>55</v>
      </c>
      <c r="E614" t="s">
        <v>467</v>
      </c>
      <c r="F614">
        <v>13</v>
      </c>
      <c r="G614">
        <v>49.119901382435643</v>
      </c>
      <c r="H614">
        <v>22.54933477691009</v>
      </c>
      <c r="I614">
        <v>3.5</v>
      </c>
      <c r="J614">
        <v>3.2</v>
      </c>
      <c r="K614">
        <v>0.54</v>
      </c>
      <c r="L614">
        <v>0.25</v>
      </c>
      <c r="N614">
        <v>125</v>
      </c>
      <c r="O614">
        <v>18</v>
      </c>
      <c r="P614">
        <v>8</v>
      </c>
      <c r="Q614">
        <v>0.53616514621265798</v>
      </c>
      <c r="R614">
        <v>3276584.6264440492</v>
      </c>
      <c r="S614">
        <v>-6.8982371303413894E-3</v>
      </c>
      <c r="T614">
        <v>2091.925837301922</v>
      </c>
      <c r="U614">
        <v>786.94653369120795</v>
      </c>
      <c r="V614">
        <v>462.81545073051359</v>
      </c>
      <c r="W614">
        <v>1.7003462880270781</v>
      </c>
      <c r="X614" t="s">
        <v>57</v>
      </c>
      <c r="Y614">
        <v>8</v>
      </c>
      <c r="Z614">
        <v>1158.78</v>
      </c>
      <c r="AA614">
        <v>95.163399999999996</v>
      </c>
      <c r="AB614">
        <v>65.006200000000007</v>
      </c>
      <c r="AC614">
        <v>20.537284674958929</v>
      </c>
      <c r="AD614">
        <v>91.320071506986025</v>
      </c>
      <c r="AE614">
        <v>91.320071506986025</v>
      </c>
      <c r="AF614" t="s">
        <v>58</v>
      </c>
      <c r="AG614" t="b">
        <v>1</v>
      </c>
      <c r="AH614">
        <v>4.4465504058738787</v>
      </c>
      <c r="AI614">
        <v>1152.44</v>
      </c>
      <c r="AJ614">
        <v>91.310100000000006</v>
      </c>
      <c r="AK614">
        <v>64.381599999999992</v>
      </c>
      <c r="AL614">
        <v>20.2989342031162</v>
      </c>
      <c r="AN614">
        <v>91.310100000000006</v>
      </c>
      <c r="AO614" t="s">
        <v>62</v>
      </c>
      <c r="AP614" t="b">
        <v>0</v>
      </c>
      <c r="AQ614">
        <v>4.4982706523568359</v>
      </c>
      <c r="AR614">
        <v>1158.78</v>
      </c>
      <c r="AS614">
        <v>91.320071506986025</v>
      </c>
      <c r="AT614">
        <v>4.4982706523568359</v>
      </c>
      <c r="AU614" s="5">
        <v>68.216093415718561</v>
      </c>
      <c r="AV614" s="5">
        <v>97.438516297954081</v>
      </c>
      <c r="AW614" s="5">
        <v>3.3602081773105565</v>
      </c>
      <c r="AX614" s="5">
        <v>4.7996547860647434</v>
      </c>
      <c r="AY614" t="s">
        <v>59</v>
      </c>
      <c r="AZ614" t="s">
        <v>60</v>
      </c>
      <c r="BA614" s="23">
        <f t="shared" si="9"/>
        <v>0</v>
      </c>
      <c r="BB614" s="23">
        <f>IF(AND(ISNUMBER(H614),Metadata!$H$5&gt;Metadata!$G$5),MAX(Metadata!$G$5-H614,0,H614-Metadata!$H$5)/(Metadata!$H$5-Metadata!$G$5),"Missing input")</f>
        <v>0</v>
      </c>
      <c r="BC614" s="23">
        <f>IF(AND(ISNUMBER(L614),Metadata!$H$8&gt;Metadata!$G$8),MAX(Metadata!$G$8-L614,0,L614-Metadata!$H$8)/(Metadata!$H$8-Metadata!$G$8),"Missing input")</f>
        <v>0</v>
      </c>
    </row>
    <row r="615" spans="1:55" x14ac:dyDescent="0.2">
      <c r="A615" t="s">
        <v>711</v>
      </c>
      <c r="B615" t="s">
        <v>698</v>
      </c>
      <c r="C615" t="s">
        <v>466</v>
      </c>
      <c r="D615" t="s">
        <v>55</v>
      </c>
      <c r="E615" t="s">
        <v>467</v>
      </c>
      <c r="F615">
        <v>14</v>
      </c>
      <c r="G615">
        <v>37.958866376576751</v>
      </c>
      <c r="H615">
        <v>9.8264864335603903</v>
      </c>
      <c r="I615">
        <v>3.5</v>
      </c>
      <c r="J615">
        <v>3.2</v>
      </c>
      <c r="K615">
        <v>0.54</v>
      </c>
      <c r="L615">
        <v>0.25</v>
      </c>
      <c r="N615">
        <v>125</v>
      </c>
      <c r="O615">
        <v>18</v>
      </c>
      <c r="P615">
        <v>8</v>
      </c>
      <c r="Q615">
        <v>0.53616514621265798</v>
      </c>
      <c r="R615">
        <v>1072728.181448289</v>
      </c>
      <c r="S615">
        <v>-4.0813388758675646E-3</v>
      </c>
      <c r="T615">
        <v>1287.4573436413591</v>
      </c>
      <c r="U615">
        <v>744.72430032575369</v>
      </c>
      <c r="V615">
        <v>284.83569549587588</v>
      </c>
      <c r="W615">
        <v>2.614575041338302</v>
      </c>
      <c r="X615" t="s">
        <v>57</v>
      </c>
      <c r="Y615">
        <v>8</v>
      </c>
      <c r="Z615">
        <v>814.76199999999994</v>
      </c>
      <c r="AA615">
        <v>95.163399999999996</v>
      </c>
      <c r="AB615">
        <v>77.850200000000001</v>
      </c>
      <c r="AC615">
        <v>19.45809352893891</v>
      </c>
      <c r="AE615">
        <v>95.163399999999996</v>
      </c>
      <c r="AF615" t="s">
        <v>62</v>
      </c>
      <c r="AG615" t="b">
        <v>0</v>
      </c>
      <c r="AH615">
        <v>4.8906846839064118</v>
      </c>
      <c r="AI615">
        <v>812.75400000000002</v>
      </c>
      <c r="AJ615">
        <v>91.310100000000006</v>
      </c>
      <c r="AK615">
        <v>78.431799999999996</v>
      </c>
      <c r="AL615">
        <v>19.17118105162929</v>
      </c>
      <c r="AN615">
        <v>91.310100000000006</v>
      </c>
      <c r="AO615" t="s">
        <v>62</v>
      </c>
      <c r="AP615" t="b">
        <v>0</v>
      </c>
      <c r="AQ615">
        <v>4.7628834005633616</v>
      </c>
      <c r="AR615">
        <v>814.76199999999994</v>
      </c>
      <c r="AS615">
        <v>95.163399999999996</v>
      </c>
      <c r="AT615">
        <v>4.8906846839064118</v>
      </c>
      <c r="AU615" s="5">
        <v>71.087059799999992</v>
      </c>
      <c r="AV615" s="5">
        <v>101.53934779999999</v>
      </c>
      <c r="AW615" s="5">
        <v>3.6533414588780895</v>
      </c>
      <c r="AX615" s="5">
        <v>5.2183605577281407</v>
      </c>
      <c r="AY615" t="s">
        <v>59</v>
      </c>
      <c r="AZ615" t="s">
        <v>60</v>
      </c>
      <c r="BA615" s="23">
        <f t="shared" si="9"/>
        <v>0</v>
      </c>
      <c r="BB615" s="23">
        <f>IF(AND(ISNUMBER(H615),Metadata!$H$5&gt;Metadata!$G$5),MAX(Metadata!$G$5-H615,0,H615-Metadata!$H$5)/(Metadata!$H$5-Metadata!$G$5),"Missing input")</f>
        <v>0</v>
      </c>
      <c r="BC615" s="23">
        <f>IF(AND(ISNUMBER(L615),Metadata!$H$8&gt;Metadata!$G$8),MAX(Metadata!$G$8-L615,0,L615-Metadata!$H$8)/(Metadata!$H$8-Metadata!$G$8),"Missing input")</f>
        <v>0</v>
      </c>
    </row>
    <row r="616" spans="1:55" x14ac:dyDescent="0.2">
      <c r="A616" t="s">
        <v>712</v>
      </c>
      <c r="B616" t="s">
        <v>698</v>
      </c>
      <c r="C616" t="s">
        <v>466</v>
      </c>
      <c r="D616" t="s">
        <v>55</v>
      </c>
      <c r="E616" t="s">
        <v>467</v>
      </c>
      <c r="F616">
        <v>15</v>
      </c>
      <c r="G616">
        <v>27.308053040943211</v>
      </c>
      <c r="H616">
        <v>5.2772178758296739</v>
      </c>
      <c r="I616">
        <v>3.5</v>
      </c>
      <c r="J616">
        <v>3.2</v>
      </c>
      <c r="K616">
        <v>0.54</v>
      </c>
      <c r="L616">
        <v>0.25</v>
      </c>
      <c r="N616">
        <v>125</v>
      </c>
      <c r="O616">
        <v>18</v>
      </c>
      <c r="P616">
        <v>8</v>
      </c>
      <c r="Q616">
        <v>0.53616514621265798</v>
      </c>
      <c r="R616">
        <v>386052.96198531118</v>
      </c>
      <c r="S616">
        <v>-3.1521817097885868E-3</v>
      </c>
      <c r="T616">
        <v>1089.4869514085069</v>
      </c>
      <c r="U616">
        <v>698.12364149884274</v>
      </c>
      <c r="V616">
        <v>241.03693615232461</v>
      </c>
      <c r="W616">
        <v>2.8963346972584301</v>
      </c>
      <c r="X616" t="s">
        <v>57</v>
      </c>
      <c r="Y616">
        <v>8</v>
      </c>
      <c r="Z616">
        <v>682.70699999999999</v>
      </c>
      <c r="AA616">
        <v>77.850200000000001</v>
      </c>
      <c r="AB616">
        <v>51.296399999999998</v>
      </c>
      <c r="AC616">
        <v>19.984379643164232</v>
      </c>
      <c r="AE616">
        <v>77.850200000000001</v>
      </c>
      <c r="AF616" t="s">
        <v>62</v>
      </c>
      <c r="AG616" t="b">
        <v>0</v>
      </c>
      <c r="AH616">
        <v>3.895552496003003</v>
      </c>
      <c r="AI616">
        <v>674.05700000000002</v>
      </c>
      <c r="AJ616">
        <v>91.133400000000009</v>
      </c>
      <c r="AK616">
        <v>39.358900000000013</v>
      </c>
      <c r="AL616">
        <v>19.399214876584391</v>
      </c>
      <c r="AN616">
        <v>91.133400000000009</v>
      </c>
      <c r="AO616" t="s">
        <v>62</v>
      </c>
      <c r="AP616" t="b">
        <v>0</v>
      </c>
      <c r="AQ616">
        <v>4.6977880589384871</v>
      </c>
      <c r="AR616">
        <v>682.70699999999999</v>
      </c>
      <c r="AS616">
        <v>91.133400000000009</v>
      </c>
      <c r="AT616">
        <v>4.6977880589384871</v>
      </c>
      <c r="AU616" s="5">
        <v>68.076649800000013</v>
      </c>
      <c r="AV616" s="5">
        <v>97.239337800000001</v>
      </c>
      <c r="AW616" s="5">
        <v>3.50924768002705</v>
      </c>
      <c r="AX616" s="5">
        <v>5.0125398588873651</v>
      </c>
      <c r="AY616" t="s">
        <v>59</v>
      </c>
      <c r="AZ616" t="s">
        <v>60</v>
      </c>
      <c r="BA616" s="23">
        <f t="shared" si="9"/>
        <v>0</v>
      </c>
      <c r="BB616" s="23">
        <f>IF(AND(ISNUMBER(H616),Metadata!$H$5&gt;Metadata!$G$5),MAX(Metadata!$G$5-H616,0,H616-Metadata!$H$5)/(Metadata!$H$5-Metadata!$G$5),"Missing input")</f>
        <v>0</v>
      </c>
      <c r="BC616" s="23">
        <f>IF(AND(ISNUMBER(L616),Metadata!$H$8&gt;Metadata!$G$8),MAX(Metadata!$G$8-L616,0,L616-Metadata!$H$8)/(Metadata!$H$8-Metadata!$G$8),"Missing input")</f>
        <v>0</v>
      </c>
    </row>
    <row r="617" spans="1:55" x14ac:dyDescent="0.2">
      <c r="A617" t="s">
        <v>713</v>
      </c>
      <c r="B617" t="s">
        <v>698</v>
      </c>
      <c r="C617" t="s">
        <v>466</v>
      </c>
      <c r="D617" t="s">
        <v>55</v>
      </c>
      <c r="E617" t="s">
        <v>467</v>
      </c>
      <c r="F617">
        <v>16</v>
      </c>
      <c r="G617">
        <v>31.1252119640606</v>
      </c>
      <c r="H617">
        <v>39.5069074866867</v>
      </c>
      <c r="I617">
        <v>3.5</v>
      </c>
      <c r="J617">
        <v>3.2</v>
      </c>
      <c r="K617">
        <v>0.54</v>
      </c>
      <c r="L617">
        <v>0.25</v>
      </c>
      <c r="N617">
        <v>125</v>
      </c>
      <c r="O617">
        <v>18</v>
      </c>
      <c r="P617">
        <v>8</v>
      </c>
      <c r="Q617">
        <v>0.53616514621265798</v>
      </c>
      <c r="R617">
        <v>3642703.933702969</v>
      </c>
      <c r="S617">
        <v>-8.9289729927954972E-3</v>
      </c>
      <c r="T617">
        <v>2325.1700356573642</v>
      </c>
      <c r="U617">
        <v>715.72465594585606</v>
      </c>
      <c r="V617">
        <v>514.41814948171782</v>
      </c>
      <c r="W617">
        <v>1.3913285459833731</v>
      </c>
      <c r="X617" t="s">
        <v>57</v>
      </c>
      <c r="Y617">
        <v>8</v>
      </c>
      <c r="Z617">
        <v>1033.03</v>
      </c>
      <c r="AA617">
        <v>95.163399999999996</v>
      </c>
      <c r="AB617">
        <v>44.910200000000003</v>
      </c>
      <c r="AC617">
        <v>21.14111910246227</v>
      </c>
      <c r="AD617">
        <v>55.363226539809723</v>
      </c>
      <c r="AE617">
        <v>55.363226539809723</v>
      </c>
      <c r="AF617" t="s">
        <v>58</v>
      </c>
      <c r="AG617" t="b">
        <v>1</v>
      </c>
      <c r="AH617">
        <v>2.618746258014395</v>
      </c>
      <c r="AI617">
        <v>1023.72</v>
      </c>
      <c r="AJ617">
        <v>91.310100000000006</v>
      </c>
      <c r="AK617">
        <v>44.887300000000003</v>
      </c>
      <c r="AL617">
        <v>20.647557388170451</v>
      </c>
      <c r="AM617">
        <v>55.722226671605853</v>
      </c>
      <c r="AN617">
        <v>55.722226671605853</v>
      </c>
      <c r="AO617" t="s">
        <v>58</v>
      </c>
      <c r="AP617" t="b">
        <v>1</v>
      </c>
      <c r="AQ617">
        <v>2.698732136883689</v>
      </c>
      <c r="AR617">
        <v>1033.03</v>
      </c>
      <c r="AS617">
        <v>55.722226671605853</v>
      </c>
      <c r="AT617">
        <v>2.698732136883689</v>
      </c>
      <c r="AU617" s="5">
        <v>41.624503323689574</v>
      </c>
      <c r="AV617" s="5">
        <v>59.455615858603444</v>
      </c>
      <c r="AW617" s="5">
        <v>2.0159529062521155</v>
      </c>
      <c r="AX617" s="5">
        <v>2.8795471900548959</v>
      </c>
      <c r="AY617" t="s">
        <v>59</v>
      </c>
      <c r="AZ617" t="s">
        <v>60</v>
      </c>
      <c r="BA617" s="23">
        <f t="shared" si="9"/>
        <v>0</v>
      </c>
      <c r="BB617" s="23">
        <f>IF(AND(ISNUMBER(H617),Metadata!$H$5&gt;Metadata!$G$5),MAX(Metadata!$G$5-H617,0,H617-Metadata!$H$5)/(Metadata!$H$5-Metadata!$G$5),"Missing input")</f>
        <v>0</v>
      </c>
      <c r="BC617" s="23">
        <f>IF(AND(ISNUMBER(L617),Metadata!$H$8&gt;Metadata!$G$8),MAX(Metadata!$G$8-L617,0,L617-Metadata!$H$8)/(Metadata!$H$8-Metadata!$G$8),"Missing input")</f>
        <v>0</v>
      </c>
    </row>
    <row r="618" spans="1:55" x14ac:dyDescent="0.2">
      <c r="A618" t="s">
        <v>714</v>
      </c>
      <c r="B618" t="s">
        <v>698</v>
      </c>
      <c r="C618" t="s">
        <v>466</v>
      </c>
      <c r="D618" t="s">
        <v>55</v>
      </c>
      <c r="E618" t="s">
        <v>467</v>
      </c>
      <c r="F618">
        <v>17</v>
      </c>
      <c r="G618">
        <v>46.390186033042063</v>
      </c>
      <c r="H618">
        <v>16.21387510983789</v>
      </c>
      <c r="I618">
        <v>3.5</v>
      </c>
      <c r="J618">
        <v>3.2</v>
      </c>
      <c r="K618">
        <v>0.54</v>
      </c>
      <c r="L618">
        <v>0.25</v>
      </c>
      <c r="N618">
        <v>125</v>
      </c>
      <c r="O618">
        <v>18</v>
      </c>
      <c r="P618">
        <v>8</v>
      </c>
      <c r="Q618">
        <v>0.53616514621265798</v>
      </c>
      <c r="R618">
        <v>2210215.3729856689</v>
      </c>
      <c r="S618">
        <v>-5.5243178106619203E-3</v>
      </c>
      <c r="T618">
        <v>1673.720453997985</v>
      </c>
      <c r="U618">
        <v>777.10568399344538</v>
      </c>
      <c r="V618">
        <v>370.29213584026212</v>
      </c>
      <c r="W618">
        <v>2.098628646892668</v>
      </c>
      <c r="X618" t="s">
        <v>57</v>
      </c>
      <c r="Y618">
        <v>8</v>
      </c>
      <c r="Z618">
        <v>1008.7</v>
      </c>
      <c r="AA618">
        <v>95.157499999999999</v>
      </c>
      <c r="AB618">
        <v>73.187399999999997</v>
      </c>
      <c r="AC618">
        <v>19.713550706283488</v>
      </c>
      <c r="AE618">
        <v>95.157499999999999</v>
      </c>
      <c r="AF618" t="s">
        <v>62</v>
      </c>
      <c r="AG618" t="b">
        <v>0</v>
      </c>
      <c r="AH618">
        <v>4.8270096756171643</v>
      </c>
      <c r="AI618">
        <v>999.65899999999999</v>
      </c>
      <c r="AJ618">
        <v>91.315999999999988</v>
      </c>
      <c r="AK618">
        <v>51.757599999999996</v>
      </c>
      <c r="AL618">
        <v>19.339336660194171</v>
      </c>
      <c r="AM618">
        <v>51.879503742011281</v>
      </c>
      <c r="AN618">
        <v>51.879503742011281</v>
      </c>
      <c r="AO618" t="s">
        <v>58</v>
      </c>
      <c r="AP618" t="b">
        <v>1</v>
      </c>
      <c r="AQ618">
        <v>2.6825896179155908</v>
      </c>
      <c r="AR618">
        <v>1008.7</v>
      </c>
      <c r="AS618">
        <v>95.157499999999999</v>
      </c>
      <c r="AT618">
        <v>4.8270096756171643</v>
      </c>
      <c r="AU618" s="5">
        <v>71.082652499999995</v>
      </c>
      <c r="AV618" s="5">
        <v>101.5330525</v>
      </c>
      <c r="AW618" s="5">
        <v>3.6057762276860217</v>
      </c>
      <c r="AX618" s="5">
        <v>5.1504193238835141</v>
      </c>
      <c r="AY618" t="s">
        <v>59</v>
      </c>
      <c r="AZ618" t="s">
        <v>60</v>
      </c>
      <c r="BA618" s="23">
        <f t="shared" si="9"/>
        <v>0</v>
      </c>
      <c r="BB618" s="23">
        <f>IF(AND(ISNUMBER(H618),Metadata!$H$5&gt;Metadata!$G$5),MAX(Metadata!$G$5-H618,0,H618-Metadata!$H$5)/(Metadata!$H$5-Metadata!$G$5),"Missing input")</f>
        <v>0</v>
      </c>
      <c r="BC618" s="23">
        <f>IF(AND(ISNUMBER(L618),Metadata!$H$8&gt;Metadata!$G$8),MAX(Metadata!$G$8-L618,0,L618-Metadata!$H$8)/(Metadata!$H$8-Metadata!$G$8),"Missing input")</f>
        <v>0</v>
      </c>
    </row>
    <row r="619" spans="1:55" x14ac:dyDescent="0.2">
      <c r="A619" t="s">
        <v>715</v>
      </c>
      <c r="B619" t="s">
        <v>698</v>
      </c>
      <c r="C619" t="s">
        <v>466</v>
      </c>
      <c r="D619" t="s">
        <v>55</v>
      </c>
      <c r="E619" t="s">
        <v>467</v>
      </c>
      <c r="F619">
        <v>18</v>
      </c>
      <c r="G619">
        <v>54.165408264435399</v>
      </c>
      <c r="H619">
        <v>18.25275816413232</v>
      </c>
      <c r="I619">
        <v>3.5</v>
      </c>
      <c r="J619">
        <v>3.2</v>
      </c>
      <c r="K619">
        <v>0.54</v>
      </c>
      <c r="L619">
        <v>0.25</v>
      </c>
      <c r="N619">
        <v>125</v>
      </c>
      <c r="O619">
        <v>18</v>
      </c>
      <c r="P619">
        <v>8</v>
      </c>
      <c r="Q619">
        <v>0.53616514621265798</v>
      </c>
      <c r="R619">
        <v>2919725.6187367002</v>
      </c>
      <c r="S619">
        <v>-5.9850571262199488E-3</v>
      </c>
      <c r="T619">
        <v>1932.491798651836</v>
      </c>
      <c r="U619">
        <v>804.44140245145684</v>
      </c>
      <c r="V619">
        <v>427.54243333005229</v>
      </c>
      <c r="W619">
        <v>1.8815475137422151</v>
      </c>
      <c r="X619" t="s">
        <v>57</v>
      </c>
      <c r="Y619">
        <v>8</v>
      </c>
      <c r="Z619">
        <v>1096.81</v>
      </c>
      <c r="AA619">
        <v>95.163399999999996</v>
      </c>
      <c r="AB619">
        <v>37.809100000000001</v>
      </c>
      <c r="AC619">
        <v>18.737735387363252</v>
      </c>
      <c r="AD619">
        <v>71.800522451414082</v>
      </c>
      <c r="AE619">
        <v>71.800522451414082</v>
      </c>
      <c r="AF619" t="s">
        <v>58</v>
      </c>
      <c r="AG619" t="b">
        <v>1</v>
      </c>
      <c r="AH619">
        <v>3.8318676706170391</v>
      </c>
      <c r="AI619">
        <v>1101.55</v>
      </c>
      <c r="AJ619">
        <v>91.310100000000006</v>
      </c>
      <c r="AK619">
        <v>39.358900000000013</v>
      </c>
      <c r="AL619">
        <v>18.815060612868439</v>
      </c>
      <c r="AM619">
        <v>39.523949952217947</v>
      </c>
      <c r="AN619">
        <v>39.523949952217947</v>
      </c>
      <c r="AO619" t="s">
        <v>58</v>
      </c>
      <c r="AP619" t="b">
        <v>1</v>
      </c>
      <c r="AQ619">
        <v>2.1006549362474982</v>
      </c>
      <c r="AR619">
        <v>1101.55</v>
      </c>
      <c r="AS619">
        <v>71.800522451414082</v>
      </c>
      <c r="AT619">
        <v>3.8318676706170391</v>
      </c>
      <c r="AU619" s="5">
        <v>53.63499027120632</v>
      </c>
      <c r="AV619" s="5">
        <v>76.611157455658827</v>
      </c>
      <c r="AW619" s="5">
        <v>2.8624051499509284</v>
      </c>
      <c r="AX619" s="5">
        <v>4.0886028045483807</v>
      </c>
      <c r="AY619" t="s">
        <v>59</v>
      </c>
      <c r="AZ619" t="s">
        <v>60</v>
      </c>
      <c r="BA619" s="23">
        <f t="shared" si="9"/>
        <v>0</v>
      </c>
      <c r="BB619" s="23">
        <f>IF(AND(ISNUMBER(H619),Metadata!$H$5&gt;Metadata!$G$5),MAX(Metadata!$G$5-H619,0,H619-Metadata!$H$5)/(Metadata!$H$5-Metadata!$G$5),"Missing input")</f>
        <v>0</v>
      </c>
      <c r="BC619" s="23">
        <f>IF(AND(ISNUMBER(L619),Metadata!$H$8&gt;Metadata!$G$8),MAX(Metadata!$G$8-L619,0,L619-Metadata!$H$8)/(Metadata!$H$8-Metadata!$G$8),"Missing input")</f>
        <v>0</v>
      </c>
    </row>
    <row r="620" spans="1:55" x14ac:dyDescent="0.2">
      <c r="A620" t="s">
        <v>716</v>
      </c>
      <c r="B620" t="s">
        <v>698</v>
      </c>
      <c r="C620" t="s">
        <v>466</v>
      </c>
      <c r="D620" t="s">
        <v>55</v>
      </c>
      <c r="E620" t="s">
        <v>467</v>
      </c>
      <c r="F620">
        <v>19</v>
      </c>
      <c r="G620">
        <v>21.707483118551171</v>
      </c>
      <c r="H620">
        <v>43.497365085878002</v>
      </c>
      <c r="I620">
        <v>3.5</v>
      </c>
      <c r="J620">
        <v>3.2</v>
      </c>
      <c r="K620">
        <v>0.54</v>
      </c>
      <c r="L620">
        <v>0.25</v>
      </c>
      <c r="N620">
        <v>125</v>
      </c>
      <c r="O620">
        <v>18</v>
      </c>
      <c r="P620">
        <v>8</v>
      </c>
      <c r="Q620">
        <v>0.53616514621265798</v>
      </c>
      <c r="R620">
        <v>2786376.2799094608</v>
      </c>
      <c r="S620">
        <v>-9.0207103068543747E-3</v>
      </c>
      <c r="T620">
        <v>1992.3722503211941</v>
      </c>
      <c r="U620">
        <v>669.89609780516332</v>
      </c>
      <c r="V620">
        <v>440.79032086752068</v>
      </c>
      <c r="W620">
        <v>1.519761360654968</v>
      </c>
      <c r="X620" t="s">
        <v>57</v>
      </c>
      <c r="Y620">
        <v>8</v>
      </c>
      <c r="Z620">
        <v>889.58</v>
      </c>
      <c r="AA620">
        <v>95.163399999999996</v>
      </c>
      <c r="AB620">
        <v>44.611400000000003</v>
      </c>
      <c r="AC620">
        <v>21.69006343195267</v>
      </c>
      <c r="AD620">
        <v>45.020038712347848</v>
      </c>
      <c r="AE620">
        <v>45.020038712347848</v>
      </c>
      <c r="AF620" t="s">
        <v>58</v>
      </c>
      <c r="AG620" t="b">
        <v>1</v>
      </c>
      <c r="AH620">
        <v>2.0756065953235838</v>
      </c>
      <c r="AI620">
        <v>881.57</v>
      </c>
      <c r="AJ620">
        <v>78.431799999999996</v>
      </c>
      <c r="AK620">
        <v>39.358900000000013</v>
      </c>
      <c r="AL620">
        <v>21.260810300071451</v>
      </c>
      <c r="AM620">
        <v>39.494562660600451</v>
      </c>
      <c r="AN620">
        <v>39.494562660600451</v>
      </c>
      <c r="AO620" t="s">
        <v>58</v>
      </c>
      <c r="AP620" t="b">
        <v>1</v>
      </c>
      <c r="AQ620">
        <v>1.8576226448183739</v>
      </c>
      <c r="AR620">
        <v>889.58</v>
      </c>
      <c r="AS620">
        <v>45.020038712347848</v>
      </c>
      <c r="AT620">
        <v>2.0756065953235838</v>
      </c>
      <c r="AU620" s="5">
        <v>33.629968918123843</v>
      </c>
      <c r="AV620" s="5">
        <v>48.03638130607515</v>
      </c>
      <c r="AW620" s="5">
        <v>1.5504781267067171</v>
      </c>
      <c r="AX620" s="5">
        <v>2.2146722372102636</v>
      </c>
      <c r="AY620" t="s">
        <v>64</v>
      </c>
      <c r="AZ620" t="s">
        <v>7</v>
      </c>
      <c r="BA620" s="23">
        <f t="shared" si="9"/>
        <v>9.4596678167087334E-2</v>
      </c>
      <c r="BB620" s="23">
        <f>IF(AND(ISNUMBER(H620),Metadata!$H$5&gt;Metadata!$G$5),MAX(Metadata!$G$5-H620,0,H620-Metadata!$H$5)/(Metadata!$H$5-Metadata!$G$5),"Missing input")</f>
        <v>9.4596678167087334E-2</v>
      </c>
      <c r="BC620" s="23">
        <f>IF(AND(ISNUMBER(L620),Metadata!$H$8&gt;Metadata!$G$8),MAX(Metadata!$G$8-L620,0,L620-Metadata!$H$8)/(Metadata!$H$8-Metadata!$G$8),"Missing input")</f>
        <v>0</v>
      </c>
    </row>
    <row r="621" spans="1:55" x14ac:dyDescent="0.2">
      <c r="A621" t="s">
        <v>717</v>
      </c>
      <c r="B621" t="s">
        <v>698</v>
      </c>
      <c r="C621" t="s">
        <v>466</v>
      </c>
      <c r="D621" t="s">
        <v>55</v>
      </c>
      <c r="E621" t="s">
        <v>467</v>
      </c>
      <c r="F621">
        <v>20</v>
      </c>
      <c r="G621">
        <v>53.035991243371583</v>
      </c>
      <c r="H621">
        <v>30.34654288470276</v>
      </c>
      <c r="I621">
        <v>3.5</v>
      </c>
      <c r="J621">
        <v>3.2</v>
      </c>
      <c r="K621">
        <v>0.54</v>
      </c>
      <c r="L621">
        <v>0.25</v>
      </c>
      <c r="N621">
        <v>125</v>
      </c>
      <c r="O621">
        <v>18</v>
      </c>
      <c r="P621">
        <v>8</v>
      </c>
      <c r="Q621">
        <v>0.53616514621265798</v>
      </c>
      <c r="R621">
        <v>4782098.2730990862</v>
      </c>
      <c r="S621">
        <v>-8.1836105235114243E-3</v>
      </c>
      <c r="T621">
        <v>2737.3244389539068</v>
      </c>
      <c r="U621">
        <v>800.59853302729891</v>
      </c>
      <c r="V621">
        <v>605.60275198095292</v>
      </c>
      <c r="W621">
        <v>1.321986286238803</v>
      </c>
      <c r="X621" t="s">
        <v>57</v>
      </c>
      <c r="Y621">
        <v>8</v>
      </c>
      <c r="Z621">
        <v>1315.09</v>
      </c>
      <c r="AA621">
        <v>95.163399999999996</v>
      </c>
      <c r="AB621">
        <v>51.296399999999998</v>
      </c>
      <c r="AC621">
        <v>20.850111918412338</v>
      </c>
      <c r="AD621">
        <v>65.309736677146304</v>
      </c>
      <c r="AE621">
        <v>65.309736677146304</v>
      </c>
      <c r="AF621" t="s">
        <v>58</v>
      </c>
      <c r="AG621" t="b">
        <v>1</v>
      </c>
      <c r="AH621">
        <v>3.1323446575590079</v>
      </c>
      <c r="AI621">
        <v>1312.97</v>
      </c>
      <c r="AJ621">
        <v>91.310100000000006</v>
      </c>
      <c r="AK621">
        <v>51.757599999999996</v>
      </c>
      <c r="AL621">
        <v>20.641998842308361</v>
      </c>
      <c r="AM621">
        <v>64.85059532044761</v>
      </c>
      <c r="AN621">
        <v>64.85059532044761</v>
      </c>
      <c r="AO621" t="s">
        <v>58</v>
      </c>
      <c r="AP621" t="b">
        <v>1</v>
      </c>
      <c r="AQ621">
        <v>3.1416819570558339</v>
      </c>
      <c r="AR621">
        <v>1315.09</v>
      </c>
      <c r="AS621">
        <v>65.309736677146304</v>
      </c>
      <c r="AT621">
        <v>3.1416819570558339</v>
      </c>
      <c r="AU621" s="5">
        <v>48.786373297828291</v>
      </c>
      <c r="AV621" s="5">
        <v>69.685489034515101</v>
      </c>
      <c r="AW621" s="5">
        <v>2.3468364219207078</v>
      </c>
      <c r="AX621" s="5">
        <v>3.3521746481785746</v>
      </c>
      <c r="AY621" t="s">
        <v>59</v>
      </c>
      <c r="AZ621" t="s">
        <v>60</v>
      </c>
      <c r="BA621" s="23">
        <f t="shared" si="9"/>
        <v>0</v>
      </c>
      <c r="BB621" s="23">
        <f>IF(AND(ISNUMBER(H621),Metadata!$H$5&gt;Metadata!$G$5),MAX(Metadata!$G$5-H621,0,H621-Metadata!$H$5)/(Metadata!$H$5-Metadata!$G$5),"Missing input")</f>
        <v>0</v>
      </c>
      <c r="BC621" s="23">
        <f>IF(AND(ISNUMBER(L621),Metadata!$H$8&gt;Metadata!$G$8),MAX(Metadata!$G$8-L621,0,L621-Metadata!$H$8)/(Metadata!$H$8-Metadata!$G$8),"Missing input")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39" customWidth="1"/>
    <col min="2" max="2" width="70" customWidth="1"/>
    <col min="6" max="8" width="20" customWidth="1"/>
  </cols>
  <sheetData>
    <row r="1" spans="1:8" ht="16" x14ac:dyDescent="0.2">
      <c r="A1" s="3" t="s">
        <v>718</v>
      </c>
      <c r="B1" s="3" t="s">
        <v>719</v>
      </c>
      <c r="C1" s="2"/>
      <c r="D1" s="2"/>
      <c r="E1" s="2"/>
    </row>
    <row r="2" spans="1:8" ht="16" x14ac:dyDescent="0.2">
      <c r="A2" s="2" t="s">
        <v>720</v>
      </c>
      <c r="B2" s="2" t="s">
        <v>55</v>
      </c>
      <c r="C2" s="2"/>
      <c r="D2" s="2"/>
      <c r="E2" s="2"/>
    </row>
    <row r="3" spans="1:8" ht="32" x14ac:dyDescent="0.2">
      <c r="A3" s="2" t="s">
        <v>721</v>
      </c>
      <c r="B3" s="2" t="s">
        <v>722</v>
      </c>
      <c r="C3" s="2"/>
      <c r="D3" s="2"/>
      <c r="E3" s="2"/>
      <c r="F3" s="12"/>
      <c r="G3" s="12"/>
      <c r="H3" s="12"/>
    </row>
    <row r="4" spans="1:8" ht="16" x14ac:dyDescent="0.2">
      <c r="A4" s="2" t="s">
        <v>723</v>
      </c>
      <c r="B4" s="2" t="s">
        <v>724</v>
      </c>
      <c r="C4" s="2"/>
      <c r="D4" s="2"/>
      <c r="E4" s="14"/>
      <c r="F4" s="13" t="s">
        <v>725</v>
      </c>
      <c r="G4" s="11" t="s">
        <v>726</v>
      </c>
      <c r="H4" s="15" t="s">
        <v>727</v>
      </c>
    </row>
    <row r="5" spans="1:8" ht="17" x14ac:dyDescent="0.25">
      <c r="A5" s="2" t="s">
        <v>728</v>
      </c>
      <c r="B5" s="7" t="s">
        <v>729</v>
      </c>
      <c r="C5" s="2"/>
      <c r="D5" s="2"/>
      <c r="E5" s="14"/>
      <c r="F5" s="10" t="s">
        <v>730</v>
      </c>
      <c r="G5" s="8">
        <v>7.5700000000000003E-2</v>
      </c>
      <c r="H5" s="16">
        <v>39.744799999999998</v>
      </c>
    </row>
    <row r="6" spans="1:8" ht="16" x14ac:dyDescent="0.2">
      <c r="A6" s="2" t="s">
        <v>731</v>
      </c>
      <c r="B6" s="2" t="s">
        <v>56</v>
      </c>
      <c r="C6" s="2"/>
      <c r="D6" s="2"/>
      <c r="E6" s="14"/>
      <c r="F6" s="10" t="s">
        <v>732</v>
      </c>
      <c r="G6" s="8">
        <v>600</v>
      </c>
      <c r="H6" s="16">
        <v>2438.4</v>
      </c>
    </row>
    <row r="7" spans="1:8" ht="16" x14ac:dyDescent="0.2">
      <c r="A7" s="2" t="s">
        <v>733</v>
      </c>
      <c r="B7" s="2" t="s">
        <v>467</v>
      </c>
      <c r="C7" s="2"/>
      <c r="D7" s="2"/>
      <c r="E7" s="14"/>
      <c r="F7" s="10" t="s">
        <v>734</v>
      </c>
      <c r="G7" s="8">
        <v>1200</v>
      </c>
      <c r="H7" s="16">
        <v>5276.8</v>
      </c>
    </row>
    <row r="8" spans="1:8" ht="16" x14ac:dyDescent="0.2">
      <c r="A8" s="2" t="s">
        <v>735</v>
      </c>
      <c r="B8" s="2" t="s">
        <v>736</v>
      </c>
      <c r="C8" s="2"/>
      <c r="D8" s="2"/>
      <c r="E8" s="14"/>
      <c r="F8" s="10" t="s">
        <v>737</v>
      </c>
      <c r="G8" s="9">
        <v>0.11310000000000001</v>
      </c>
      <c r="H8" s="17">
        <v>1.7174</v>
      </c>
    </row>
    <row r="9" spans="1:8" ht="16" x14ac:dyDescent="0.2">
      <c r="A9" s="2" t="s">
        <v>738</v>
      </c>
      <c r="B9" s="2">
        <v>31</v>
      </c>
      <c r="C9" s="2"/>
      <c r="D9" s="2"/>
      <c r="E9" s="14"/>
      <c r="F9" s="10" t="s">
        <v>739</v>
      </c>
      <c r="G9" s="8">
        <v>5</v>
      </c>
      <c r="H9" s="16">
        <v>21.875</v>
      </c>
    </row>
    <row r="10" spans="1:8" ht="16" x14ac:dyDescent="0.25">
      <c r="A10" s="7" t="s">
        <v>740</v>
      </c>
      <c r="B10" s="7" t="s">
        <v>741</v>
      </c>
      <c r="C10" s="2"/>
      <c r="D10" s="2"/>
      <c r="E10" s="14"/>
      <c r="F10" s="10" t="s">
        <v>742</v>
      </c>
      <c r="G10" s="8">
        <v>68.66</v>
      </c>
      <c r="H10" s="16">
        <v>1202.8499999999999</v>
      </c>
    </row>
    <row r="11" spans="1:8" ht="16" x14ac:dyDescent="0.2">
      <c r="A11" s="2" t="s">
        <v>743</v>
      </c>
      <c r="B11" s="2">
        <v>20</v>
      </c>
      <c r="C11" s="2"/>
      <c r="D11" s="2"/>
      <c r="E11" s="14"/>
      <c r="F11" s="10" t="s">
        <v>744</v>
      </c>
      <c r="G11" s="8">
        <v>157.08000000000001</v>
      </c>
      <c r="H11" s="16">
        <v>1477.79</v>
      </c>
    </row>
    <row r="12" spans="1:8" ht="16" x14ac:dyDescent="0.2">
      <c r="A12" s="2" t="s">
        <v>745</v>
      </c>
      <c r="B12" s="2">
        <v>620</v>
      </c>
      <c r="C12" s="2"/>
      <c r="D12" s="2"/>
      <c r="E12" s="14"/>
      <c r="F12" s="18" t="s">
        <v>746</v>
      </c>
      <c r="G12" s="19">
        <v>0</v>
      </c>
      <c r="H12" s="20">
        <v>242736</v>
      </c>
    </row>
    <row r="13" spans="1:8" ht="16" x14ac:dyDescent="0.2">
      <c r="A13" s="2" t="s">
        <v>747</v>
      </c>
      <c r="B13" s="2">
        <v>120</v>
      </c>
      <c r="C13" s="2"/>
      <c r="D13" s="2"/>
      <c r="E13" s="2"/>
      <c r="F13" s="2"/>
      <c r="G13" s="2"/>
      <c r="H13" s="2"/>
    </row>
    <row r="14" spans="1:8" ht="16" x14ac:dyDescent="0.2">
      <c r="A14" s="2" t="s">
        <v>748</v>
      </c>
      <c r="B14" s="2" t="s">
        <v>749</v>
      </c>
      <c r="C14" s="2"/>
      <c r="D14" s="2"/>
      <c r="E14" s="2"/>
      <c r="F14" s="2"/>
      <c r="G14" s="2"/>
      <c r="H14" s="2"/>
    </row>
    <row r="15" spans="1:8" ht="16" x14ac:dyDescent="0.2">
      <c r="A15" s="2" t="s">
        <v>750</v>
      </c>
      <c r="B15" s="2" t="s">
        <v>751</v>
      </c>
      <c r="C15" s="2"/>
      <c r="D15" s="2"/>
      <c r="E15" s="2"/>
      <c r="F15" s="2"/>
      <c r="G15" s="2"/>
      <c r="H15" s="2"/>
    </row>
    <row r="16" spans="1:8" ht="16" x14ac:dyDescent="0.2">
      <c r="A16" s="2" t="s">
        <v>752</v>
      </c>
      <c r="B16" s="2" t="s">
        <v>753</v>
      </c>
      <c r="C16" s="2"/>
      <c r="D16" s="2"/>
      <c r="E16" s="2"/>
      <c r="F16" s="2"/>
      <c r="G16" s="2"/>
      <c r="H16" s="2"/>
    </row>
    <row r="17" spans="1:8" ht="16" x14ac:dyDescent="0.2">
      <c r="A17" s="2" t="s">
        <v>754</v>
      </c>
      <c r="B17" s="2">
        <v>0.747</v>
      </c>
      <c r="C17" s="2"/>
      <c r="D17" s="2"/>
      <c r="E17" s="2"/>
      <c r="F17" s="2"/>
      <c r="G17" s="2"/>
      <c r="H17" s="2"/>
    </row>
    <row r="18" spans="1:8" ht="16" x14ac:dyDescent="0.2">
      <c r="A18" s="2" t="s">
        <v>755</v>
      </c>
      <c r="B18" s="2">
        <v>1.0669999999999999</v>
      </c>
      <c r="C18" s="2"/>
      <c r="D18" s="2"/>
      <c r="E18" s="2"/>
      <c r="F18" s="2"/>
      <c r="G18" s="2"/>
      <c r="H18" s="2"/>
    </row>
    <row r="19" spans="1:8" ht="32" x14ac:dyDescent="0.2">
      <c r="A19" s="2" t="s">
        <v>756</v>
      </c>
      <c r="B19" s="2" t="s">
        <v>757</v>
      </c>
      <c r="C19" s="2"/>
      <c r="D19" s="2"/>
      <c r="E19" s="2"/>
      <c r="F19" s="2"/>
      <c r="G19" s="2"/>
      <c r="H19" s="2"/>
    </row>
    <row r="20" spans="1:8" ht="32" x14ac:dyDescent="0.2">
      <c r="A20" s="2" t="s">
        <v>758</v>
      </c>
      <c r="B20" s="2" t="s">
        <v>759</v>
      </c>
      <c r="C20" s="2"/>
      <c r="D20" s="2"/>
      <c r="E20" s="2"/>
      <c r="F20" s="2"/>
      <c r="G20" s="2"/>
      <c r="H20" s="2"/>
    </row>
    <row r="21" spans="1:8" ht="32" x14ac:dyDescent="0.2">
      <c r="A21" s="2" t="s">
        <v>760</v>
      </c>
      <c r="B21" s="2" t="s">
        <v>761</v>
      </c>
      <c r="C21" s="2"/>
      <c r="D21" s="2"/>
      <c r="E21" s="2"/>
      <c r="F21" s="2"/>
      <c r="G21" s="2"/>
      <c r="H21" s="2"/>
    </row>
    <row r="23" spans="1:8" ht="113.75" customHeight="1" x14ac:dyDescent="0.2">
      <c r="A23" t="s">
        <v>46</v>
      </c>
      <c r="B23" s="2" t="s">
        <v>762</v>
      </c>
    </row>
    <row r="24" spans="1:8" ht="113.75" customHeight="1" x14ac:dyDescent="0.2">
      <c r="A24" t="s">
        <v>47</v>
      </c>
      <c r="B24" s="2" t="s">
        <v>763</v>
      </c>
    </row>
    <row r="25" spans="1:8" ht="113.75" customHeight="1" x14ac:dyDescent="0.2">
      <c r="A25" t="s">
        <v>48</v>
      </c>
      <c r="B25" s="2" t="s">
        <v>764</v>
      </c>
    </row>
    <row r="26" spans="1:8" ht="113.75" customHeight="1" x14ac:dyDescent="0.2">
      <c r="A26" t="s">
        <v>49</v>
      </c>
      <c r="B26" s="2" t="s">
        <v>765</v>
      </c>
    </row>
    <row r="27" spans="1:8" ht="113.75" customHeight="1" x14ac:dyDescent="0.2">
      <c r="A27" t="s">
        <v>766</v>
      </c>
      <c r="B27" s="2" t="s">
        <v>767</v>
      </c>
    </row>
    <row r="28" spans="1:8" ht="113.75" customHeight="1" x14ac:dyDescent="0.2">
      <c r="A28" t="s">
        <v>768</v>
      </c>
      <c r="B28" s="2" t="s">
        <v>785</v>
      </c>
    </row>
    <row r="29" spans="1:8" ht="113.75" customHeight="1" x14ac:dyDescent="0.2">
      <c r="A29" t="s">
        <v>769</v>
      </c>
      <c r="B29" s="2" t="s">
        <v>770</v>
      </c>
    </row>
    <row r="30" spans="1:8" ht="113.75" customHeight="1" x14ac:dyDescent="0.2">
      <c r="A30" t="s">
        <v>771</v>
      </c>
      <c r="B30" s="2" t="s">
        <v>772</v>
      </c>
    </row>
    <row r="31" spans="1:8" ht="113.75" customHeight="1" x14ac:dyDescent="0.2">
      <c r="A31" t="s">
        <v>773</v>
      </c>
      <c r="B31" s="2" t="s">
        <v>774</v>
      </c>
    </row>
    <row r="32" spans="1:8" ht="113.75" customHeight="1" x14ac:dyDescent="0.2">
      <c r="A32" t="s">
        <v>775</v>
      </c>
      <c r="B32" s="2" t="s">
        <v>776</v>
      </c>
    </row>
    <row r="33" spans="1:2" ht="113.75" customHeight="1" x14ac:dyDescent="0.2">
      <c r="A33" t="s">
        <v>777</v>
      </c>
      <c r="B33" s="2" t="s">
        <v>778</v>
      </c>
    </row>
    <row r="34" spans="1:2" ht="113.75" customHeight="1" x14ac:dyDescent="0.2">
      <c r="A34" t="s">
        <v>779</v>
      </c>
      <c r="B34" s="2" t="s">
        <v>780</v>
      </c>
    </row>
    <row r="35" spans="1:2" ht="26.75" customHeight="1" x14ac:dyDescent="0.2">
      <c r="B35" s="2"/>
    </row>
    <row r="36" spans="1:2" ht="35.25" customHeight="1" x14ac:dyDescent="0.2">
      <c r="A36" s="25" t="s">
        <v>782</v>
      </c>
      <c r="B36" s="24" t="s">
        <v>786</v>
      </c>
    </row>
    <row r="37" spans="1:2" ht="35.25" customHeight="1" x14ac:dyDescent="0.2">
      <c r="A37" s="25" t="s">
        <v>783</v>
      </c>
      <c r="B37" s="24" t="s">
        <v>787</v>
      </c>
    </row>
    <row r="38" spans="1:2" ht="35.25" customHeight="1" x14ac:dyDescent="0.2">
      <c r="A38" s="25" t="s">
        <v>784</v>
      </c>
      <c r="B38" s="24" t="s">
        <v>788</v>
      </c>
    </row>
    <row r="39" spans="1:2" ht="52.75" customHeight="1" x14ac:dyDescent="0.2">
      <c r="A39" s="25" t="s">
        <v>789</v>
      </c>
      <c r="B39" s="24" t="s">
        <v>790</v>
      </c>
    </row>
    <row r="40" spans="1:2" ht="52.75" customHeight="1" x14ac:dyDescent="0.2">
      <c r="A40" s="25" t="s">
        <v>791</v>
      </c>
      <c r="B40" s="24" t="s">
        <v>792</v>
      </c>
    </row>
    <row r="41" spans="1:2" ht="52.75" customHeight="1" x14ac:dyDescent="0.2">
      <c r="A41" s="25" t="s">
        <v>793</v>
      </c>
      <c r="B41" s="24" t="s">
        <v>794</v>
      </c>
    </row>
    <row r="42" spans="1:2" ht="81.75" customHeight="1" x14ac:dyDescent="0.2"/>
    <row r="43" spans="1:2" ht="81.75" customHeight="1" x14ac:dyDescent="0.2"/>
    <row r="44" spans="1:2" ht="81.75" customHeight="1" x14ac:dyDescent="0.2"/>
    <row r="45" spans="1:2" ht="81.75" customHeight="1" x14ac:dyDescent="0.2"/>
    <row r="46" spans="1:2" ht="81.75" customHeight="1" x14ac:dyDescent="0.2"/>
    <row r="47" spans="1:2" ht="81.75" customHeight="1" x14ac:dyDescent="0.2"/>
    <row r="48" spans="1:2" ht="81.75" customHeight="1" x14ac:dyDescent="0.2"/>
    <row r="49" ht="81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8.5" customWidth="1"/>
    <col min="3" max="3" width="6.83203125" customWidth="1"/>
    <col min="4" max="4" width="5.6640625" customWidth="1"/>
  </cols>
  <sheetData>
    <row r="1" spans="1:4" x14ac:dyDescent="0.2">
      <c r="A1" s="1" t="s">
        <v>5</v>
      </c>
      <c r="B1" s="1" t="s">
        <v>781</v>
      </c>
      <c r="C1" s="1" t="s">
        <v>6</v>
      </c>
      <c r="D1" s="1" t="s">
        <v>7</v>
      </c>
    </row>
    <row r="2" spans="1:4" x14ac:dyDescent="0.2">
      <c r="A2">
        <v>1</v>
      </c>
      <c r="B2">
        <v>120</v>
      </c>
      <c r="C2" s="21">
        <v>22.11413992487228</v>
      </c>
      <c r="D2" s="21">
        <v>28.832065765515338</v>
      </c>
    </row>
    <row r="3" spans="1:4" x14ac:dyDescent="0.2">
      <c r="A3">
        <v>2</v>
      </c>
      <c r="B3">
        <v>120</v>
      </c>
      <c r="C3" s="21">
        <v>39.289372610104301</v>
      </c>
      <c r="D3" s="21">
        <v>11.43599740060767</v>
      </c>
    </row>
    <row r="4" spans="1:4" x14ac:dyDescent="0.2">
      <c r="A4">
        <v>3</v>
      </c>
      <c r="B4">
        <v>120</v>
      </c>
      <c r="C4" s="21">
        <v>50.720967279676117</v>
      </c>
      <c r="D4" s="21">
        <v>41.572102032205443</v>
      </c>
    </row>
    <row r="5" spans="1:4" x14ac:dyDescent="0.2">
      <c r="A5">
        <v>4</v>
      </c>
      <c r="B5">
        <v>120</v>
      </c>
      <c r="C5" s="21">
        <v>40.065365059576777</v>
      </c>
      <c r="D5" s="21">
        <v>25.23064360495534</v>
      </c>
    </row>
    <row r="6" spans="1:4" x14ac:dyDescent="0.2">
      <c r="A6">
        <v>5</v>
      </c>
      <c r="B6">
        <v>120</v>
      </c>
      <c r="C6" s="21">
        <v>44.691650234033148</v>
      </c>
      <c r="D6" s="21">
        <v>35.278860063057749</v>
      </c>
    </row>
    <row r="7" spans="1:4" x14ac:dyDescent="0.2">
      <c r="A7">
        <v>6</v>
      </c>
      <c r="B7">
        <v>120</v>
      </c>
      <c r="C7" s="21">
        <v>33.086500490231572</v>
      </c>
      <c r="D7" s="21">
        <v>19.79580616436397</v>
      </c>
    </row>
    <row r="8" spans="1:4" x14ac:dyDescent="0.2">
      <c r="A8">
        <v>7</v>
      </c>
      <c r="B8">
        <v>120</v>
      </c>
      <c r="C8" s="21">
        <v>42.943727860216583</v>
      </c>
      <c r="D8" s="21">
        <v>31.604415760045629</v>
      </c>
    </row>
    <row r="9" spans="1:4" x14ac:dyDescent="0.2">
      <c r="A9">
        <v>8</v>
      </c>
      <c r="B9">
        <v>120</v>
      </c>
      <c r="C9" s="21">
        <v>29.155454969686971</v>
      </c>
      <c r="D9" s="21">
        <v>7.3398505058277053</v>
      </c>
    </row>
    <row r="10" spans="1:4" x14ac:dyDescent="0.2">
      <c r="A10">
        <v>9</v>
      </c>
      <c r="B10">
        <v>120</v>
      </c>
      <c r="C10" s="21">
        <v>59.748609235827082</v>
      </c>
      <c r="D10" s="21">
        <v>37.783512331141722</v>
      </c>
    </row>
    <row r="11" spans="1:4" x14ac:dyDescent="0.2">
      <c r="A11">
        <v>10</v>
      </c>
      <c r="B11">
        <v>120</v>
      </c>
      <c r="C11" s="21">
        <v>34.746337553007109</v>
      </c>
      <c r="D11" s="21">
        <v>23.7414613202046</v>
      </c>
    </row>
    <row r="12" spans="1:4" x14ac:dyDescent="0.2">
      <c r="A12">
        <v>11</v>
      </c>
      <c r="B12">
        <v>120</v>
      </c>
      <c r="C12" s="21">
        <v>24.502161634428251</v>
      </c>
      <c r="D12" s="21">
        <v>33.048591474592847</v>
      </c>
    </row>
    <row r="13" spans="1:4" x14ac:dyDescent="0.2">
      <c r="A13">
        <v>12</v>
      </c>
      <c r="B13">
        <v>120</v>
      </c>
      <c r="C13" s="21">
        <v>56.241153781572699</v>
      </c>
      <c r="D13" s="21">
        <v>14.78764467513273</v>
      </c>
    </row>
    <row r="14" spans="1:4" x14ac:dyDescent="0.2">
      <c r="A14">
        <v>13</v>
      </c>
      <c r="B14">
        <v>120</v>
      </c>
      <c r="C14" s="21">
        <v>49.119901382435643</v>
      </c>
      <c r="D14" s="21">
        <v>22.54933477691009</v>
      </c>
    </row>
    <row r="15" spans="1:4" x14ac:dyDescent="0.2">
      <c r="A15">
        <v>14</v>
      </c>
      <c r="B15">
        <v>120</v>
      </c>
      <c r="C15" s="21">
        <v>37.958866376576751</v>
      </c>
      <c r="D15" s="21">
        <v>9.8264864335603903</v>
      </c>
    </row>
    <row r="16" spans="1:4" x14ac:dyDescent="0.2">
      <c r="A16">
        <v>15</v>
      </c>
      <c r="B16">
        <v>120</v>
      </c>
      <c r="C16" s="21">
        <v>27.308053040943211</v>
      </c>
      <c r="D16" s="21">
        <v>5.2772178758296739</v>
      </c>
    </row>
    <row r="17" spans="1:4" x14ac:dyDescent="0.2">
      <c r="A17">
        <v>16</v>
      </c>
      <c r="B17">
        <v>120</v>
      </c>
      <c r="C17" s="21">
        <v>31.1252119640606</v>
      </c>
      <c r="D17" s="21">
        <v>39.5069074866867</v>
      </c>
    </row>
    <row r="18" spans="1:4" x14ac:dyDescent="0.2">
      <c r="A18">
        <v>17</v>
      </c>
      <c r="B18">
        <v>120</v>
      </c>
      <c r="C18" s="21">
        <v>46.390186033042063</v>
      </c>
      <c r="D18" s="21">
        <v>16.21387510983789</v>
      </c>
    </row>
    <row r="19" spans="1:4" x14ac:dyDescent="0.2">
      <c r="A19">
        <v>18</v>
      </c>
      <c r="B19">
        <v>120</v>
      </c>
      <c r="C19" s="21">
        <v>54.165408264435399</v>
      </c>
      <c r="D19" s="21">
        <v>18.25275816413232</v>
      </c>
    </row>
    <row r="20" spans="1:4" x14ac:dyDescent="0.2">
      <c r="A20">
        <v>19</v>
      </c>
      <c r="B20">
        <v>120</v>
      </c>
      <c r="C20" s="21">
        <v>21.707483118551171</v>
      </c>
      <c r="D20" s="21">
        <v>43.497365085878002</v>
      </c>
    </row>
    <row r="21" spans="1:4" x14ac:dyDescent="0.2">
      <c r="A21">
        <v>20</v>
      </c>
      <c r="B21">
        <v>120</v>
      </c>
      <c r="C21" s="21">
        <v>53.035991243371583</v>
      </c>
      <c r="D21" s="21">
        <v>30.34654288470276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17.33203125" customWidth="1"/>
    <col min="3" max="3" width="6.1640625" customWidth="1"/>
    <col min="4" max="4" width="6.33203125" customWidth="1"/>
    <col min="5" max="5" width="5.1640625" customWidth="1"/>
    <col min="6" max="6" width="5.33203125" customWidth="1"/>
    <col min="7" max="7" width="8.5" customWidth="1"/>
    <col min="8" max="8" width="14" customWidth="1"/>
    <col min="9" max="10" width="9.5" customWidth="1"/>
  </cols>
  <sheetData>
    <row r="1" spans="1:10" x14ac:dyDescent="0.2">
      <c r="A1" s="1" t="s">
        <v>1</v>
      </c>
      <c r="B1" s="1" t="s">
        <v>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2">
      <c r="A2" t="s">
        <v>53</v>
      </c>
      <c r="B2" t="s">
        <v>54</v>
      </c>
      <c r="C2">
        <v>1.57</v>
      </c>
      <c r="D2">
        <v>1.5</v>
      </c>
      <c r="E2">
        <v>0.54</v>
      </c>
      <c r="F2">
        <v>0.25</v>
      </c>
      <c r="G2">
        <v>8</v>
      </c>
      <c r="H2">
        <v>125</v>
      </c>
    </row>
    <row r="3" spans="1:10" x14ac:dyDescent="0.2">
      <c r="A3" t="s">
        <v>83</v>
      </c>
      <c r="B3" t="s">
        <v>84</v>
      </c>
      <c r="C3">
        <v>1.57</v>
      </c>
      <c r="D3">
        <v>1.5</v>
      </c>
      <c r="E3">
        <v>0.27</v>
      </c>
      <c r="F3">
        <v>0.18</v>
      </c>
      <c r="G3">
        <v>8</v>
      </c>
      <c r="H3">
        <v>250</v>
      </c>
    </row>
    <row r="4" spans="1:10" x14ac:dyDescent="0.2">
      <c r="A4" t="s">
        <v>107</v>
      </c>
      <c r="B4" t="s">
        <v>84</v>
      </c>
      <c r="C4">
        <v>1.57</v>
      </c>
      <c r="D4">
        <v>1.5</v>
      </c>
      <c r="E4">
        <v>0.2</v>
      </c>
      <c r="F4">
        <v>0.12</v>
      </c>
      <c r="G4">
        <v>6</v>
      </c>
      <c r="H4">
        <v>190</v>
      </c>
    </row>
    <row r="5" spans="1:10" x14ac:dyDescent="0.2">
      <c r="A5" t="s">
        <v>128</v>
      </c>
      <c r="B5" t="s">
        <v>84</v>
      </c>
      <c r="C5">
        <v>1.57</v>
      </c>
      <c r="D5">
        <v>1.5</v>
      </c>
      <c r="E5">
        <v>0.4</v>
      </c>
      <c r="F5">
        <v>0.3</v>
      </c>
      <c r="G5">
        <v>8</v>
      </c>
      <c r="H5">
        <v>170</v>
      </c>
    </row>
    <row r="6" spans="1:10" x14ac:dyDescent="0.2">
      <c r="A6" t="s">
        <v>149</v>
      </c>
      <c r="B6" t="s">
        <v>84</v>
      </c>
      <c r="C6">
        <v>1.57</v>
      </c>
      <c r="D6">
        <v>1.5</v>
      </c>
      <c r="E6">
        <v>0.78</v>
      </c>
      <c r="F6">
        <v>0.4</v>
      </c>
      <c r="G6">
        <v>10</v>
      </c>
      <c r="H6">
        <v>135</v>
      </c>
    </row>
    <row r="7" spans="1:10" x14ac:dyDescent="0.2">
      <c r="A7" t="s">
        <v>170</v>
      </c>
      <c r="B7" t="s">
        <v>84</v>
      </c>
      <c r="C7">
        <v>1.57</v>
      </c>
      <c r="D7">
        <v>1.5</v>
      </c>
      <c r="E7">
        <v>0.95</v>
      </c>
      <c r="F7">
        <v>0.55000000000000004</v>
      </c>
      <c r="G7">
        <v>10</v>
      </c>
      <c r="H7">
        <v>110</v>
      </c>
    </row>
    <row r="8" spans="1:10" x14ac:dyDescent="0.2">
      <c r="A8" t="s">
        <v>191</v>
      </c>
      <c r="B8" t="s">
        <v>84</v>
      </c>
      <c r="C8">
        <v>1.57</v>
      </c>
      <c r="D8">
        <v>1.5</v>
      </c>
      <c r="E8">
        <v>0.84</v>
      </c>
      <c r="F8">
        <v>0.1</v>
      </c>
      <c r="G8">
        <v>10</v>
      </c>
      <c r="H8">
        <v>125</v>
      </c>
    </row>
    <row r="9" spans="1:10" x14ac:dyDescent="0.2">
      <c r="A9" t="s">
        <v>213</v>
      </c>
      <c r="B9" t="s">
        <v>84</v>
      </c>
      <c r="C9">
        <v>1.57</v>
      </c>
      <c r="D9">
        <v>1.5</v>
      </c>
      <c r="E9">
        <v>0.95</v>
      </c>
      <c r="F9">
        <v>0.15</v>
      </c>
      <c r="G9">
        <v>10</v>
      </c>
      <c r="H9">
        <v>110</v>
      </c>
    </row>
    <row r="10" spans="1:10" x14ac:dyDescent="0.2">
      <c r="A10" t="s">
        <v>234</v>
      </c>
      <c r="B10" t="s">
        <v>84</v>
      </c>
      <c r="C10">
        <v>1.57</v>
      </c>
      <c r="D10">
        <v>1.5</v>
      </c>
      <c r="E10">
        <v>1.2</v>
      </c>
      <c r="F10">
        <v>0.2</v>
      </c>
      <c r="G10">
        <v>12</v>
      </c>
      <c r="H10">
        <v>125</v>
      </c>
    </row>
    <row r="11" spans="1:10" x14ac:dyDescent="0.2">
      <c r="A11" t="s">
        <v>255</v>
      </c>
      <c r="B11" t="s">
        <v>84</v>
      </c>
      <c r="C11">
        <v>1.57</v>
      </c>
      <c r="D11">
        <v>1.5</v>
      </c>
      <c r="E11">
        <v>0.15</v>
      </c>
      <c r="F11">
        <v>0.4</v>
      </c>
      <c r="G11">
        <v>6</v>
      </c>
      <c r="H11">
        <v>250</v>
      </c>
    </row>
    <row r="12" spans="1:10" x14ac:dyDescent="0.2">
      <c r="A12" t="s">
        <v>276</v>
      </c>
      <c r="B12" t="s">
        <v>84</v>
      </c>
      <c r="C12">
        <v>1.57</v>
      </c>
      <c r="D12">
        <v>1.5</v>
      </c>
      <c r="E12">
        <v>0.2</v>
      </c>
      <c r="F12">
        <v>0.5</v>
      </c>
      <c r="G12">
        <v>6</v>
      </c>
      <c r="H12">
        <v>190</v>
      </c>
    </row>
    <row r="13" spans="1:10" x14ac:dyDescent="0.2">
      <c r="A13" t="s">
        <v>297</v>
      </c>
      <c r="B13" t="s">
        <v>84</v>
      </c>
      <c r="C13">
        <v>1.57</v>
      </c>
      <c r="D13">
        <v>1.5</v>
      </c>
      <c r="E13">
        <v>0.25</v>
      </c>
      <c r="F13">
        <v>0.6</v>
      </c>
      <c r="G13">
        <v>6</v>
      </c>
      <c r="H13">
        <v>150</v>
      </c>
    </row>
    <row r="14" spans="1:10" x14ac:dyDescent="0.2">
      <c r="A14" t="s">
        <v>318</v>
      </c>
      <c r="B14" t="s">
        <v>84</v>
      </c>
      <c r="C14">
        <v>1.57</v>
      </c>
      <c r="D14">
        <v>1.5</v>
      </c>
      <c r="E14">
        <v>0.2</v>
      </c>
      <c r="F14">
        <v>0.25</v>
      </c>
      <c r="G14">
        <v>6</v>
      </c>
      <c r="H14">
        <v>190</v>
      </c>
    </row>
    <row r="15" spans="1:10" x14ac:dyDescent="0.2">
      <c r="A15" t="s">
        <v>339</v>
      </c>
      <c r="B15" t="s">
        <v>84</v>
      </c>
      <c r="C15">
        <v>1.57</v>
      </c>
      <c r="D15">
        <v>1.5</v>
      </c>
      <c r="E15">
        <v>0.7</v>
      </c>
      <c r="F15">
        <v>0.25</v>
      </c>
      <c r="G15">
        <v>10</v>
      </c>
      <c r="H15">
        <v>150</v>
      </c>
    </row>
    <row r="16" spans="1:10" x14ac:dyDescent="0.2">
      <c r="A16" t="s">
        <v>360</v>
      </c>
      <c r="B16" t="s">
        <v>84</v>
      </c>
      <c r="C16">
        <v>1.57</v>
      </c>
      <c r="D16">
        <v>1.5</v>
      </c>
      <c r="E16">
        <v>0.95</v>
      </c>
      <c r="F16">
        <v>0.25</v>
      </c>
      <c r="G16">
        <v>10</v>
      </c>
      <c r="H16">
        <v>110</v>
      </c>
    </row>
    <row r="17" spans="1:10" x14ac:dyDescent="0.2">
      <c r="A17" t="s">
        <v>381</v>
      </c>
      <c r="B17" t="s">
        <v>84</v>
      </c>
      <c r="C17">
        <v>1.57</v>
      </c>
      <c r="D17">
        <v>1.5</v>
      </c>
      <c r="E17">
        <v>0.54</v>
      </c>
      <c r="F17">
        <v>0.05</v>
      </c>
      <c r="G17">
        <v>8</v>
      </c>
      <c r="H17">
        <v>125</v>
      </c>
    </row>
    <row r="18" spans="1:10" x14ac:dyDescent="0.2">
      <c r="A18" t="s">
        <v>402</v>
      </c>
      <c r="B18" t="s">
        <v>84</v>
      </c>
      <c r="C18">
        <v>1.57</v>
      </c>
      <c r="D18">
        <v>1.5</v>
      </c>
      <c r="E18">
        <v>0.7</v>
      </c>
      <c r="F18">
        <v>0.05</v>
      </c>
      <c r="G18">
        <v>10</v>
      </c>
      <c r="H18">
        <v>150</v>
      </c>
    </row>
    <row r="19" spans="1:10" x14ac:dyDescent="0.2">
      <c r="A19" t="s">
        <v>423</v>
      </c>
      <c r="B19" t="s">
        <v>84</v>
      </c>
      <c r="C19">
        <v>1.57</v>
      </c>
      <c r="D19">
        <v>1.5</v>
      </c>
      <c r="E19">
        <v>0.95</v>
      </c>
      <c r="F19">
        <v>0.05</v>
      </c>
      <c r="G19">
        <v>10</v>
      </c>
      <c r="H19">
        <v>110</v>
      </c>
    </row>
    <row r="20" spans="1:10" x14ac:dyDescent="0.2">
      <c r="A20" t="s">
        <v>444</v>
      </c>
      <c r="B20" t="s">
        <v>84</v>
      </c>
      <c r="C20">
        <v>1.57</v>
      </c>
      <c r="D20">
        <v>1.5</v>
      </c>
      <c r="E20">
        <v>1.2</v>
      </c>
      <c r="F20">
        <v>0.05</v>
      </c>
      <c r="G20">
        <v>12</v>
      </c>
      <c r="H20">
        <v>125</v>
      </c>
    </row>
    <row r="21" spans="1:10" x14ac:dyDescent="0.2">
      <c r="A21" t="s">
        <v>465</v>
      </c>
      <c r="B21" t="s">
        <v>466</v>
      </c>
      <c r="C21">
        <v>1.0900000000000001</v>
      </c>
      <c r="D21">
        <v>0.6</v>
      </c>
      <c r="E21">
        <v>0.54</v>
      </c>
      <c r="F21">
        <v>0.25</v>
      </c>
      <c r="I21">
        <v>10</v>
      </c>
      <c r="J21">
        <v>8</v>
      </c>
    </row>
    <row r="22" spans="1:10" x14ac:dyDescent="0.2">
      <c r="A22" t="s">
        <v>488</v>
      </c>
      <c r="B22" t="s">
        <v>466</v>
      </c>
      <c r="C22">
        <v>1.57</v>
      </c>
      <c r="D22">
        <v>1</v>
      </c>
      <c r="E22">
        <v>0.54</v>
      </c>
      <c r="F22">
        <v>0.25</v>
      </c>
      <c r="I22">
        <v>12</v>
      </c>
      <c r="J22">
        <v>8</v>
      </c>
    </row>
    <row r="23" spans="1:10" x14ac:dyDescent="0.2">
      <c r="A23" t="s">
        <v>509</v>
      </c>
      <c r="B23" t="s">
        <v>466</v>
      </c>
      <c r="C23">
        <v>1.36</v>
      </c>
      <c r="D23">
        <v>1.25</v>
      </c>
      <c r="E23">
        <v>0.54</v>
      </c>
      <c r="F23">
        <v>0.25</v>
      </c>
      <c r="I23">
        <v>10</v>
      </c>
      <c r="J23">
        <v>10</v>
      </c>
    </row>
    <row r="24" spans="1:10" x14ac:dyDescent="0.2">
      <c r="A24" t="s">
        <v>530</v>
      </c>
      <c r="B24" t="s">
        <v>466</v>
      </c>
      <c r="C24">
        <v>1.95</v>
      </c>
      <c r="D24">
        <v>1.8</v>
      </c>
      <c r="E24">
        <v>0.54</v>
      </c>
      <c r="F24">
        <v>0.25</v>
      </c>
      <c r="I24">
        <v>12</v>
      </c>
      <c r="J24">
        <v>10</v>
      </c>
    </row>
    <row r="25" spans="1:10" x14ac:dyDescent="0.2">
      <c r="A25" t="s">
        <v>551</v>
      </c>
      <c r="B25" t="s">
        <v>466</v>
      </c>
      <c r="C25">
        <v>2.13</v>
      </c>
      <c r="D25">
        <v>2.2000000000000002</v>
      </c>
      <c r="E25">
        <v>0.54</v>
      </c>
      <c r="F25">
        <v>0.25</v>
      </c>
      <c r="I25">
        <v>14</v>
      </c>
      <c r="J25">
        <v>8</v>
      </c>
    </row>
    <row r="26" spans="1:10" x14ac:dyDescent="0.2">
      <c r="A26" t="s">
        <v>572</v>
      </c>
      <c r="B26" t="s">
        <v>466</v>
      </c>
      <c r="C26">
        <v>1.17</v>
      </c>
      <c r="D26">
        <v>0.8</v>
      </c>
      <c r="E26">
        <v>0.54</v>
      </c>
      <c r="F26">
        <v>0.25</v>
      </c>
      <c r="I26">
        <v>12</v>
      </c>
      <c r="J26">
        <v>6</v>
      </c>
    </row>
    <row r="27" spans="1:10" x14ac:dyDescent="0.2">
      <c r="A27" t="s">
        <v>593</v>
      </c>
      <c r="B27" t="s">
        <v>466</v>
      </c>
      <c r="C27">
        <v>0.82</v>
      </c>
      <c r="D27">
        <v>0.6</v>
      </c>
      <c r="E27">
        <v>0.54</v>
      </c>
      <c r="F27">
        <v>0.25</v>
      </c>
      <c r="I27">
        <v>10</v>
      </c>
      <c r="J27">
        <v>6</v>
      </c>
    </row>
    <row r="28" spans="1:10" x14ac:dyDescent="0.2">
      <c r="A28" t="s">
        <v>614</v>
      </c>
      <c r="B28" t="s">
        <v>466</v>
      </c>
      <c r="C28">
        <v>0.82</v>
      </c>
      <c r="D28">
        <v>0.45</v>
      </c>
      <c r="E28">
        <v>0.54</v>
      </c>
      <c r="F28">
        <v>0.25</v>
      </c>
      <c r="I28">
        <v>10</v>
      </c>
      <c r="J28">
        <v>6</v>
      </c>
    </row>
    <row r="29" spans="1:10" x14ac:dyDescent="0.2">
      <c r="A29" t="s">
        <v>635</v>
      </c>
      <c r="B29" t="s">
        <v>466</v>
      </c>
      <c r="C29">
        <v>0.54</v>
      </c>
      <c r="D29">
        <v>0.4</v>
      </c>
      <c r="E29">
        <v>0.54</v>
      </c>
      <c r="F29">
        <v>0.25</v>
      </c>
      <c r="I29">
        <v>10</v>
      </c>
      <c r="J29">
        <v>4</v>
      </c>
    </row>
    <row r="30" spans="1:10" x14ac:dyDescent="0.2">
      <c r="A30" t="s">
        <v>656</v>
      </c>
      <c r="B30" t="s">
        <v>466</v>
      </c>
      <c r="C30">
        <v>2.35</v>
      </c>
      <c r="D30">
        <v>2.6</v>
      </c>
      <c r="E30">
        <v>0.54</v>
      </c>
      <c r="F30">
        <v>0.25</v>
      </c>
      <c r="I30">
        <v>12</v>
      </c>
      <c r="J30">
        <v>12</v>
      </c>
    </row>
    <row r="31" spans="1:10" x14ac:dyDescent="0.2">
      <c r="A31" t="s">
        <v>677</v>
      </c>
      <c r="B31" t="s">
        <v>466</v>
      </c>
      <c r="C31">
        <v>2.8</v>
      </c>
      <c r="D31">
        <v>3</v>
      </c>
      <c r="E31">
        <v>0.54</v>
      </c>
      <c r="F31">
        <v>0.25</v>
      </c>
      <c r="I31">
        <v>16</v>
      </c>
      <c r="J31">
        <v>8</v>
      </c>
    </row>
    <row r="32" spans="1:10" x14ac:dyDescent="0.2">
      <c r="A32" t="s">
        <v>698</v>
      </c>
      <c r="B32" t="s">
        <v>466</v>
      </c>
      <c r="C32">
        <v>3.5</v>
      </c>
      <c r="D32">
        <v>3.2</v>
      </c>
      <c r="E32">
        <v>0.54</v>
      </c>
      <c r="F32">
        <v>0.25</v>
      </c>
      <c r="I32">
        <v>18</v>
      </c>
      <c r="J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Master_620</vt:lpstr>
      <vt:lpstr>Metadata</vt:lpstr>
      <vt:lpstr>Common_LHS_20</vt:lpstr>
      <vt:lpstr>Configuration_Definitions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zeynep tuna</cp:lastModifiedBy>
  <dcterms:modified xsi:type="dcterms:W3CDTF">2026-09-25T16:31:51Z</dcterms:modified>
</cp:coreProperties>
</file>